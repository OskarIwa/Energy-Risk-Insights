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jetanbernat/Desktop/"/>
    </mc:Choice>
  </mc:AlternateContent>
  <xr:revisionPtr revIDLastSave="0" documentId="8_{EE839CC1-CAEF-7245-A3AE-E29399D12BFF}" xr6:coauthVersionLast="47" xr6:coauthVersionMax="47" xr10:uidLastSave="{00000000-0000-0000-0000-000000000000}"/>
  <bookViews>
    <workbookView xWindow="0" yWindow="0" windowWidth="28800" windowHeight="18000" xr2:uid="{10F8D8DF-43E3-408C-8A7D-0AEFD47B5E8E}"/>
  </bookViews>
  <sheets>
    <sheet name="Analiza wskaźnikowa" sheetId="1" r:id="rId1"/>
    <sheet name="Analiza strukturaln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0" i="1" l="1"/>
  <c r="B63" i="1"/>
  <c r="Q108" i="1"/>
  <c r="P108" i="1"/>
  <c r="O108" i="1"/>
  <c r="N108" i="1"/>
  <c r="M108" i="1"/>
  <c r="L108" i="1"/>
  <c r="K108" i="1"/>
  <c r="Q107" i="1"/>
  <c r="P107" i="1"/>
  <c r="O107" i="1"/>
  <c r="N107" i="1"/>
  <c r="M107" i="1"/>
  <c r="L107" i="1"/>
  <c r="K107" i="1"/>
  <c r="B33" i="1"/>
  <c r="B109" i="1" s="1"/>
  <c r="C108" i="1"/>
  <c r="D108" i="1"/>
  <c r="E108" i="1"/>
  <c r="F108" i="1"/>
  <c r="G108" i="1"/>
  <c r="H108" i="1"/>
  <c r="B108" i="1"/>
  <c r="Q31" i="3"/>
  <c r="L31" i="3"/>
  <c r="M31" i="3"/>
  <c r="N31" i="3"/>
  <c r="O31" i="3"/>
  <c r="P31" i="3"/>
  <c r="K31" i="3"/>
  <c r="C31" i="3"/>
  <c r="D31" i="3"/>
  <c r="E31" i="3"/>
  <c r="F31" i="3"/>
  <c r="G31" i="3"/>
  <c r="H31" i="3"/>
  <c r="B31" i="3"/>
  <c r="C107" i="1"/>
  <c r="D107" i="1"/>
  <c r="E107" i="1"/>
  <c r="F107" i="1"/>
  <c r="G107" i="1"/>
  <c r="H107" i="1"/>
  <c r="B107" i="1"/>
  <c r="Q99" i="1"/>
  <c r="P99" i="1"/>
  <c r="O99" i="1"/>
  <c r="N99" i="1"/>
  <c r="M99" i="1"/>
  <c r="L99" i="1"/>
  <c r="K99" i="1"/>
  <c r="Q98" i="1"/>
  <c r="P98" i="1"/>
  <c r="O98" i="1"/>
  <c r="N98" i="1"/>
  <c r="M98" i="1"/>
  <c r="L98" i="1"/>
  <c r="K98" i="1"/>
  <c r="Q97" i="1"/>
  <c r="P97" i="1"/>
  <c r="O97" i="1"/>
  <c r="N97" i="1"/>
  <c r="M97" i="1"/>
  <c r="L97" i="1"/>
  <c r="K97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B99" i="1"/>
  <c r="B98" i="1"/>
  <c r="B97" i="1"/>
  <c r="Q92" i="1"/>
  <c r="P92" i="1"/>
  <c r="O92" i="1"/>
  <c r="N92" i="1"/>
  <c r="M92" i="1"/>
  <c r="L92" i="1"/>
  <c r="K92" i="1"/>
  <c r="Q91" i="1"/>
  <c r="P91" i="1"/>
  <c r="O91" i="1"/>
  <c r="N91" i="1"/>
  <c r="M91" i="1"/>
  <c r="L91" i="1"/>
  <c r="K91" i="1"/>
  <c r="C91" i="1"/>
  <c r="D91" i="1"/>
  <c r="E91" i="1"/>
  <c r="F91" i="1"/>
  <c r="G91" i="1"/>
  <c r="H91" i="1"/>
  <c r="C92" i="1"/>
  <c r="D92" i="1"/>
  <c r="E92" i="1"/>
  <c r="F92" i="1"/>
  <c r="G92" i="1"/>
  <c r="H92" i="1"/>
  <c r="B92" i="1"/>
  <c r="B91" i="1"/>
  <c r="B28" i="3"/>
  <c r="Q83" i="1"/>
  <c r="P83" i="1"/>
  <c r="O83" i="1"/>
  <c r="N83" i="1"/>
  <c r="M83" i="1"/>
  <c r="L83" i="1"/>
  <c r="K83" i="1"/>
  <c r="Q82" i="1"/>
  <c r="P82" i="1"/>
  <c r="O82" i="1"/>
  <c r="N82" i="1"/>
  <c r="M82" i="1"/>
  <c r="L82" i="1"/>
  <c r="K82" i="1"/>
  <c r="Q81" i="1"/>
  <c r="P81" i="1"/>
  <c r="O81" i="1"/>
  <c r="N81" i="1"/>
  <c r="M81" i="1"/>
  <c r="L81" i="1"/>
  <c r="K81" i="1"/>
  <c r="Q80" i="1"/>
  <c r="P80" i="1"/>
  <c r="O80" i="1"/>
  <c r="N80" i="1"/>
  <c r="M80" i="1"/>
  <c r="L80" i="1"/>
  <c r="K80" i="1"/>
  <c r="C83" i="1"/>
  <c r="D83" i="1"/>
  <c r="E83" i="1"/>
  <c r="F83" i="1"/>
  <c r="G83" i="1"/>
  <c r="H83" i="1"/>
  <c r="B83" i="1"/>
  <c r="C82" i="1"/>
  <c r="D82" i="1"/>
  <c r="E82" i="1"/>
  <c r="F82" i="1"/>
  <c r="G82" i="1"/>
  <c r="H82" i="1"/>
  <c r="B82" i="1"/>
  <c r="C81" i="1"/>
  <c r="D81" i="1"/>
  <c r="E81" i="1"/>
  <c r="F81" i="1"/>
  <c r="G81" i="1"/>
  <c r="H81" i="1"/>
  <c r="B81" i="1"/>
  <c r="C80" i="1"/>
  <c r="D80" i="1"/>
  <c r="E80" i="1"/>
  <c r="F80" i="1"/>
  <c r="G80" i="1"/>
  <c r="H80" i="1"/>
  <c r="B80" i="1"/>
  <c r="Q75" i="1"/>
  <c r="P75" i="1"/>
  <c r="O75" i="1"/>
  <c r="N75" i="1"/>
  <c r="M75" i="1"/>
  <c r="L75" i="1"/>
  <c r="K75" i="1"/>
  <c r="Q74" i="1"/>
  <c r="P74" i="1"/>
  <c r="O74" i="1"/>
  <c r="N74" i="1"/>
  <c r="M74" i="1"/>
  <c r="L74" i="1"/>
  <c r="K74" i="1"/>
  <c r="Q73" i="1"/>
  <c r="P73" i="1"/>
  <c r="O73" i="1"/>
  <c r="N73" i="1"/>
  <c r="M73" i="1"/>
  <c r="L73" i="1"/>
  <c r="K73" i="1"/>
  <c r="Q72" i="1"/>
  <c r="P72" i="1"/>
  <c r="O72" i="1"/>
  <c r="N72" i="1"/>
  <c r="M72" i="1"/>
  <c r="L72" i="1"/>
  <c r="K72" i="1"/>
  <c r="Q71" i="1"/>
  <c r="P71" i="1"/>
  <c r="O71" i="1"/>
  <c r="N71" i="1"/>
  <c r="M71" i="1"/>
  <c r="L71" i="1"/>
  <c r="K71" i="1"/>
  <c r="Q70" i="1"/>
  <c r="P70" i="1"/>
  <c r="O70" i="1"/>
  <c r="N70" i="1"/>
  <c r="M70" i="1"/>
  <c r="L70" i="1"/>
  <c r="C75" i="1"/>
  <c r="D75" i="1"/>
  <c r="E75" i="1"/>
  <c r="F75" i="1"/>
  <c r="G75" i="1"/>
  <c r="H75" i="1"/>
  <c r="B75" i="1"/>
  <c r="C74" i="1"/>
  <c r="D74" i="1"/>
  <c r="E74" i="1"/>
  <c r="F74" i="1"/>
  <c r="G74" i="1"/>
  <c r="H74" i="1"/>
  <c r="B74" i="1"/>
  <c r="C73" i="1"/>
  <c r="D73" i="1"/>
  <c r="E73" i="1"/>
  <c r="F73" i="1"/>
  <c r="G73" i="1"/>
  <c r="H73" i="1"/>
  <c r="B73" i="1"/>
  <c r="C72" i="1"/>
  <c r="D72" i="1"/>
  <c r="E72" i="1"/>
  <c r="F72" i="1"/>
  <c r="G72" i="1"/>
  <c r="H72" i="1"/>
  <c r="B72" i="1"/>
  <c r="C71" i="1"/>
  <c r="D71" i="1"/>
  <c r="E71" i="1"/>
  <c r="F71" i="1"/>
  <c r="G71" i="1"/>
  <c r="H71" i="1"/>
  <c r="B71" i="1"/>
  <c r="C70" i="1"/>
  <c r="D70" i="1"/>
  <c r="E70" i="1"/>
  <c r="F70" i="1"/>
  <c r="G70" i="1"/>
  <c r="H70" i="1"/>
  <c r="B70" i="1"/>
  <c r="Q63" i="1"/>
  <c r="P63" i="1"/>
  <c r="O63" i="1"/>
  <c r="N63" i="1"/>
  <c r="M63" i="1"/>
  <c r="L63" i="1"/>
  <c r="K63" i="1"/>
  <c r="Q62" i="1"/>
  <c r="P62" i="1"/>
  <c r="O62" i="1"/>
  <c r="N62" i="1"/>
  <c r="M62" i="1"/>
  <c r="L62" i="1"/>
  <c r="K62" i="1"/>
  <c r="C62" i="1"/>
  <c r="D62" i="1"/>
  <c r="E62" i="1"/>
  <c r="F62" i="1"/>
  <c r="G62" i="1"/>
  <c r="H62" i="1"/>
  <c r="B62" i="1"/>
  <c r="B43" i="1"/>
  <c r="B42" i="1"/>
  <c r="B61" i="1" s="1"/>
  <c r="C63" i="1"/>
  <c r="D63" i="1"/>
  <c r="E63" i="1"/>
  <c r="F63" i="1"/>
  <c r="G63" i="1"/>
  <c r="H63" i="1"/>
  <c r="B41" i="1"/>
  <c r="H20" i="3"/>
  <c r="H17" i="3"/>
  <c r="H14" i="3"/>
  <c r="H11" i="3"/>
  <c r="H8" i="3"/>
  <c r="H5" i="3"/>
  <c r="Q5" i="3"/>
  <c r="D19" i="3"/>
  <c r="E19" i="3"/>
  <c r="F19" i="3"/>
  <c r="G19" i="3"/>
  <c r="H19" i="3"/>
  <c r="C19" i="3"/>
  <c r="D16" i="3"/>
  <c r="E16" i="3"/>
  <c r="F16" i="3"/>
  <c r="G16" i="3"/>
  <c r="H16" i="3"/>
  <c r="C16" i="3"/>
  <c r="D13" i="3"/>
  <c r="E13" i="3"/>
  <c r="F13" i="3"/>
  <c r="G13" i="3"/>
  <c r="H13" i="3"/>
  <c r="C13" i="3"/>
  <c r="L10" i="3"/>
  <c r="D10" i="3"/>
  <c r="E10" i="3"/>
  <c r="F10" i="3"/>
  <c r="G10" i="3"/>
  <c r="H10" i="3"/>
  <c r="C10" i="3"/>
  <c r="H7" i="3"/>
  <c r="D7" i="3"/>
  <c r="E7" i="3"/>
  <c r="F7" i="3"/>
  <c r="G7" i="3"/>
  <c r="C7" i="3"/>
  <c r="D4" i="3"/>
  <c r="E4" i="3"/>
  <c r="F4" i="3"/>
  <c r="G4" i="3"/>
  <c r="H4" i="3"/>
  <c r="C4" i="3"/>
  <c r="L4" i="3"/>
  <c r="H29" i="3"/>
  <c r="G29" i="3"/>
  <c r="F29" i="3"/>
  <c r="E29" i="3"/>
  <c r="D29" i="3"/>
  <c r="C29" i="3"/>
  <c r="B29" i="3"/>
  <c r="H28" i="3"/>
  <c r="G28" i="3"/>
  <c r="F28" i="3"/>
  <c r="E28" i="3"/>
  <c r="D28" i="3"/>
  <c r="C28" i="3"/>
  <c r="H26" i="3"/>
  <c r="G26" i="3"/>
  <c r="F26" i="3"/>
  <c r="E26" i="3"/>
  <c r="D26" i="3"/>
  <c r="C26" i="3"/>
  <c r="B26" i="3"/>
  <c r="H25" i="3"/>
  <c r="G25" i="3"/>
  <c r="F25" i="3"/>
  <c r="E25" i="3"/>
  <c r="D25" i="3"/>
  <c r="C25" i="3"/>
  <c r="B25" i="3"/>
  <c r="H24" i="3"/>
  <c r="G24" i="3"/>
  <c r="F24" i="3"/>
  <c r="E24" i="3"/>
  <c r="D24" i="3"/>
  <c r="C24" i="3"/>
  <c r="B24" i="3"/>
  <c r="H23" i="3"/>
  <c r="G23" i="3"/>
  <c r="F23" i="3"/>
  <c r="E23" i="3"/>
  <c r="D23" i="3"/>
  <c r="C23" i="3"/>
  <c r="B23" i="3"/>
  <c r="H22" i="3"/>
  <c r="G22" i="3"/>
  <c r="F22" i="3"/>
  <c r="E22" i="3"/>
  <c r="D22" i="3"/>
  <c r="C22" i="3"/>
  <c r="B22" i="3"/>
  <c r="Q29" i="3"/>
  <c r="P29" i="3"/>
  <c r="O29" i="3"/>
  <c r="N29" i="3"/>
  <c r="M29" i="3"/>
  <c r="L29" i="3"/>
  <c r="K29" i="3"/>
  <c r="Q28" i="3"/>
  <c r="P28" i="3"/>
  <c r="O28" i="3"/>
  <c r="N28" i="3"/>
  <c r="M28" i="3"/>
  <c r="L28" i="3"/>
  <c r="K28" i="3"/>
  <c r="Q26" i="3"/>
  <c r="P26" i="3"/>
  <c r="O26" i="3"/>
  <c r="N26" i="3"/>
  <c r="M26" i="3"/>
  <c r="L26" i="3"/>
  <c r="K26" i="3"/>
  <c r="Q25" i="3"/>
  <c r="P25" i="3"/>
  <c r="O25" i="3"/>
  <c r="N25" i="3"/>
  <c r="M25" i="3"/>
  <c r="L25" i="3"/>
  <c r="K25" i="3"/>
  <c r="Q24" i="3"/>
  <c r="P24" i="3"/>
  <c r="O24" i="3"/>
  <c r="N24" i="3"/>
  <c r="M24" i="3"/>
  <c r="L24" i="3"/>
  <c r="K24" i="3"/>
  <c r="Q23" i="3"/>
  <c r="P23" i="3"/>
  <c r="O23" i="3"/>
  <c r="N23" i="3"/>
  <c r="M23" i="3"/>
  <c r="L23" i="3"/>
  <c r="K23" i="3"/>
  <c r="Q22" i="3"/>
  <c r="P22" i="3"/>
  <c r="O22" i="3"/>
  <c r="N22" i="3"/>
  <c r="M22" i="3"/>
  <c r="L22" i="3"/>
  <c r="K22" i="3"/>
  <c r="Q20" i="3"/>
  <c r="Q19" i="3"/>
  <c r="P19" i="3"/>
  <c r="O19" i="3"/>
  <c r="N19" i="3"/>
  <c r="M19" i="3"/>
  <c r="L19" i="3"/>
  <c r="Q17" i="3"/>
  <c r="Q16" i="3"/>
  <c r="P16" i="3"/>
  <c r="O16" i="3"/>
  <c r="N16" i="3"/>
  <c r="M16" i="3"/>
  <c r="L16" i="3"/>
  <c r="Q14" i="3"/>
  <c r="Q13" i="3"/>
  <c r="P13" i="3"/>
  <c r="O13" i="3"/>
  <c r="N13" i="3"/>
  <c r="M13" i="3"/>
  <c r="L13" i="3"/>
  <c r="Q11" i="3"/>
  <c r="Q10" i="3"/>
  <c r="P10" i="3"/>
  <c r="O10" i="3"/>
  <c r="N10" i="3"/>
  <c r="M10" i="3"/>
  <c r="Q8" i="3"/>
  <c r="Q7" i="3"/>
  <c r="P7" i="3"/>
  <c r="O7" i="3"/>
  <c r="N7" i="3"/>
  <c r="M7" i="3"/>
  <c r="L7" i="3"/>
  <c r="Q4" i="3"/>
  <c r="P4" i="3"/>
  <c r="O4" i="3"/>
  <c r="N4" i="3"/>
  <c r="M4" i="3"/>
  <c r="C100" i="1" l="1"/>
  <c r="C101" i="1" s="1"/>
  <c r="P100" i="1"/>
  <c r="P101" i="1" s="1"/>
  <c r="D100" i="1"/>
  <c r="D101" i="1" s="1"/>
  <c r="M100" i="1"/>
  <c r="M101" i="1" s="1"/>
  <c r="H100" i="1"/>
  <c r="H101" i="1" s="1"/>
  <c r="F100" i="1"/>
  <c r="F101" i="1" s="1"/>
  <c r="E100" i="1"/>
  <c r="E101" i="1" s="1"/>
  <c r="D84" i="1"/>
  <c r="B100" i="1"/>
  <c r="B101" i="1" s="1"/>
  <c r="G100" i="1"/>
  <c r="G101" i="1" s="1"/>
  <c r="Q100" i="1"/>
  <c r="Q101" i="1" s="1"/>
  <c r="E76" i="1"/>
  <c r="L100" i="1"/>
  <c r="L101" i="1" s="1"/>
  <c r="C84" i="1"/>
  <c r="F76" i="1"/>
  <c r="O100" i="1"/>
  <c r="O101" i="1" s="1"/>
  <c r="D76" i="1"/>
  <c r="H76" i="1"/>
  <c r="K100" i="1"/>
  <c r="K101" i="1" s="1"/>
  <c r="G76" i="1"/>
  <c r="B76" i="1"/>
  <c r="O76" i="1"/>
  <c r="G84" i="1"/>
  <c r="F84" i="1"/>
  <c r="O84" i="1"/>
  <c r="B89" i="1"/>
  <c r="B84" i="1"/>
  <c r="Q76" i="1"/>
  <c r="E84" i="1"/>
  <c r="N100" i="1"/>
  <c r="N101" i="1" s="1"/>
  <c r="C76" i="1"/>
  <c r="H84" i="1"/>
  <c r="Q84" i="1"/>
  <c r="M76" i="1"/>
  <c r="N76" i="1"/>
  <c r="P84" i="1"/>
  <c r="K84" i="1"/>
  <c r="L84" i="1"/>
  <c r="P76" i="1"/>
  <c r="K76" i="1"/>
  <c r="M84" i="1"/>
  <c r="L76" i="1"/>
  <c r="N84" i="1"/>
  <c r="G28" i="1"/>
  <c r="H28" i="1"/>
  <c r="C28" i="1"/>
  <c r="D28" i="1"/>
  <c r="E28" i="1"/>
  <c r="F28" i="1"/>
  <c r="B28" i="1"/>
  <c r="L32" i="1"/>
  <c r="L110" i="1" s="1"/>
  <c r="M32" i="1"/>
  <c r="M110" i="1" s="1"/>
  <c r="N32" i="1"/>
  <c r="N110" i="1" s="1"/>
  <c r="O32" i="1"/>
  <c r="O110" i="1" s="1"/>
  <c r="P32" i="1"/>
  <c r="P110" i="1" s="1"/>
  <c r="Q32" i="1"/>
  <c r="Q110" i="1" s="1"/>
  <c r="L33" i="1"/>
  <c r="L109" i="1" s="1"/>
  <c r="M33" i="1"/>
  <c r="M109" i="1" s="1"/>
  <c r="N33" i="1"/>
  <c r="N109" i="1" s="1"/>
  <c r="O33" i="1"/>
  <c r="O109" i="1" s="1"/>
  <c r="P33" i="1"/>
  <c r="P109" i="1" s="1"/>
  <c r="Q33" i="1"/>
  <c r="Q109" i="1" s="1"/>
  <c r="L34" i="1"/>
  <c r="M34" i="1"/>
  <c r="N34" i="1"/>
  <c r="O34" i="1"/>
  <c r="P34" i="1"/>
  <c r="Q34" i="1"/>
  <c r="K34" i="1"/>
  <c r="K33" i="1"/>
  <c r="K109" i="1" s="1"/>
  <c r="K32" i="1"/>
  <c r="K110" i="1" s="1"/>
  <c r="C32" i="1"/>
  <c r="C110" i="1" s="1"/>
  <c r="D32" i="1"/>
  <c r="D110" i="1" s="1"/>
  <c r="E32" i="1"/>
  <c r="E110" i="1" s="1"/>
  <c r="F32" i="1"/>
  <c r="F110" i="1" s="1"/>
  <c r="G32" i="1"/>
  <c r="G110" i="1" s="1"/>
  <c r="H32" i="1"/>
  <c r="H110" i="1" s="1"/>
  <c r="C33" i="1"/>
  <c r="C109" i="1" s="1"/>
  <c r="D33" i="1"/>
  <c r="D109" i="1" s="1"/>
  <c r="E33" i="1"/>
  <c r="E109" i="1" s="1"/>
  <c r="F33" i="1"/>
  <c r="F109" i="1" s="1"/>
  <c r="G33" i="1"/>
  <c r="G109" i="1" s="1"/>
  <c r="H33" i="1"/>
  <c r="H109" i="1" s="1"/>
  <c r="C34" i="1"/>
  <c r="D34" i="1"/>
  <c r="E34" i="1"/>
  <c r="F34" i="1"/>
  <c r="G34" i="1"/>
  <c r="H34" i="1"/>
  <c r="B34" i="1"/>
  <c r="B32" i="1"/>
  <c r="B110" i="1" s="1"/>
  <c r="B40" i="1"/>
  <c r="L35" i="1"/>
  <c r="L64" i="1" s="1"/>
  <c r="M35" i="1"/>
  <c r="M64" i="1" s="1"/>
  <c r="N35" i="1"/>
  <c r="N64" i="1" s="1"/>
  <c r="O35" i="1"/>
  <c r="O64" i="1" s="1"/>
  <c r="P35" i="1"/>
  <c r="P64" i="1" s="1"/>
  <c r="Q35" i="1"/>
  <c r="Q64" i="1" s="1"/>
  <c r="L36" i="1"/>
  <c r="M36" i="1"/>
  <c r="N36" i="1"/>
  <c r="O36" i="1"/>
  <c r="P36" i="1"/>
  <c r="Q36" i="1"/>
  <c r="K36" i="1"/>
  <c r="K35" i="1"/>
  <c r="K64" i="1" s="1"/>
  <c r="C35" i="1"/>
  <c r="C64" i="1" s="1"/>
  <c r="D35" i="1"/>
  <c r="D64" i="1" s="1"/>
  <c r="E35" i="1"/>
  <c r="E64" i="1" s="1"/>
  <c r="F35" i="1"/>
  <c r="F64" i="1" s="1"/>
  <c r="G35" i="1"/>
  <c r="G64" i="1" s="1"/>
  <c r="H35" i="1"/>
  <c r="H64" i="1" s="1"/>
  <c r="C36" i="1"/>
  <c r="D36" i="1"/>
  <c r="E36" i="1"/>
  <c r="F36" i="1"/>
  <c r="G36" i="1"/>
  <c r="H36" i="1"/>
  <c r="B35" i="1"/>
  <c r="B64" i="1" s="1"/>
  <c r="B65" i="1" s="1"/>
  <c r="B36" i="1"/>
  <c r="B27" i="1"/>
  <c r="B105" i="1" s="1"/>
  <c r="B29" i="1"/>
  <c r="B39" i="1"/>
  <c r="C27" i="1"/>
  <c r="C105" i="1" s="1"/>
  <c r="K27" i="1"/>
  <c r="K105" i="1" s="1"/>
  <c r="K28" i="1"/>
  <c r="K29" i="1"/>
  <c r="K39" i="1"/>
  <c r="K40" i="1"/>
  <c r="K41" i="1"/>
  <c r="K42" i="1"/>
  <c r="K43" i="1"/>
  <c r="K90" i="1" l="1"/>
  <c r="K106" i="1"/>
  <c r="K111" i="1"/>
  <c r="G90" i="1"/>
  <c r="G106" i="1"/>
  <c r="F106" i="1"/>
  <c r="F90" i="1"/>
  <c r="D106" i="1"/>
  <c r="D90" i="1"/>
  <c r="C90" i="1"/>
  <c r="C106" i="1"/>
  <c r="C111" i="1" s="1"/>
  <c r="K61" i="1"/>
  <c r="K89" i="1"/>
  <c r="K93" i="1" s="1"/>
  <c r="B90" i="1"/>
  <c r="B93" i="1" s="1"/>
  <c r="B106" i="1"/>
  <c r="B111" i="1" s="1"/>
  <c r="E106" i="1"/>
  <c r="E90" i="1"/>
  <c r="H90" i="1"/>
  <c r="H106" i="1"/>
  <c r="K65" i="1"/>
  <c r="C43" i="1"/>
  <c r="C41" i="1"/>
  <c r="C40" i="1"/>
  <c r="C39" i="1"/>
  <c r="C42" i="1"/>
  <c r="M43" i="1"/>
  <c r="N43" i="1"/>
  <c r="O43" i="1"/>
  <c r="P43" i="1"/>
  <c r="Q43" i="1"/>
  <c r="M42" i="1"/>
  <c r="N42" i="1"/>
  <c r="O42" i="1"/>
  <c r="P42" i="1"/>
  <c r="Q42" i="1"/>
  <c r="M41" i="1"/>
  <c r="N41" i="1"/>
  <c r="O41" i="1"/>
  <c r="P41" i="1"/>
  <c r="Q41" i="1"/>
  <c r="M40" i="1"/>
  <c r="N40" i="1"/>
  <c r="O40" i="1"/>
  <c r="P40" i="1"/>
  <c r="Q40" i="1"/>
  <c r="E40" i="1"/>
  <c r="H27" i="1"/>
  <c r="H105" i="1" s="1"/>
  <c r="H29" i="1"/>
  <c r="H39" i="1"/>
  <c r="H40" i="1"/>
  <c r="H41" i="1"/>
  <c r="H42" i="1"/>
  <c r="H43" i="1"/>
  <c r="Q29" i="1"/>
  <c r="Q39" i="1"/>
  <c r="M28" i="1"/>
  <c r="N28" i="1"/>
  <c r="O28" i="1"/>
  <c r="P28" i="1"/>
  <c r="Q28" i="1"/>
  <c r="M27" i="1"/>
  <c r="M105" i="1" s="1"/>
  <c r="N27" i="1"/>
  <c r="N105" i="1" s="1"/>
  <c r="O27" i="1"/>
  <c r="O105" i="1" s="1"/>
  <c r="P27" i="1"/>
  <c r="P105" i="1" s="1"/>
  <c r="Q27" i="1"/>
  <c r="Q105" i="1" s="1"/>
  <c r="L28" i="1"/>
  <c r="C29" i="1"/>
  <c r="L90" i="1" l="1"/>
  <c r="L106" i="1"/>
  <c r="H111" i="1"/>
  <c r="Q90" i="1"/>
  <c r="Q106" i="1"/>
  <c r="Q111" i="1" s="1"/>
  <c r="P90" i="1"/>
  <c r="P106" i="1"/>
  <c r="P111" i="1" s="1"/>
  <c r="O90" i="1"/>
  <c r="O106" i="1"/>
  <c r="O111" i="1" s="1"/>
  <c r="N90" i="1"/>
  <c r="N106" i="1"/>
  <c r="N111" i="1" s="1"/>
  <c r="M90" i="1"/>
  <c r="M106" i="1"/>
  <c r="M111" i="1" s="1"/>
  <c r="P61" i="1"/>
  <c r="P65" i="1" s="1"/>
  <c r="P89" i="1"/>
  <c r="P93" i="1" s="1"/>
  <c r="N61" i="1"/>
  <c r="N65" i="1" s="1"/>
  <c r="N89" i="1"/>
  <c r="M61" i="1"/>
  <c r="M65" i="1" s="1"/>
  <c r="M89" i="1"/>
  <c r="C61" i="1"/>
  <c r="C65" i="1" s="1"/>
  <c r="C89" i="1"/>
  <c r="C93" i="1" s="1"/>
  <c r="O61" i="1"/>
  <c r="O65" i="1" s="1"/>
  <c r="O89" i="1"/>
  <c r="H61" i="1"/>
  <c r="H65" i="1" s="1"/>
  <c r="H89" i="1"/>
  <c r="H93" i="1" s="1"/>
  <c r="Q61" i="1"/>
  <c r="Q65" i="1" s="1"/>
  <c r="Q89" i="1"/>
  <c r="L43" i="1"/>
  <c r="L42" i="1"/>
  <c r="L41" i="1"/>
  <c r="L40" i="1"/>
  <c r="L39" i="1"/>
  <c r="P39" i="1"/>
  <c r="O39" i="1"/>
  <c r="N39" i="1"/>
  <c r="M39" i="1"/>
  <c r="P29" i="1"/>
  <c r="O29" i="1"/>
  <c r="N29" i="1"/>
  <c r="M29" i="1"/>
  <c r="L29" i="1"/>
  <c r="L27" i="1"/>
  <c r="L105" i="1" s="1"/>
  <c r="L111" i="1" s="1"/>
  <c r="G43" i="1"/>
  <c r="F43" i="1"/>
  <c r="E43" i="1"/>
  <c r="D43" i="1"/>
  <c r="G42" i="1"/>
  <c r="F42" i="1"/>
  <c r="E42" i="1"/>
  <c r="D42" i="1"/>
  <c r="G41" i="1"/>
  <c r="F41" i="1"/>
  <c r="E41" i="1"/>
  <c r="D41" i="1"/>
  <c r="G40" i="1"/>
  <c r="F40" i="1"/>
  <c r="D40" i="1"/>
  <c r="G39" i="1"/>
  <c r="F39" i="1"/>
  <c r="E39" i="1"/>
  <c r="D39" i="1"/>
  <c r="G29" i="1"/>
  <c r="F29" i="1"/>
  <c r="E29" i="1"/>
  <c r="D29" i="1"/>
  <c r="G27" i="1"/>
  <c r="G105" i="1" s="1"/>
  <c r="G111" i="1" s="1"/>
  <c r="F27" i="1"/>
  <c r="F105" i="1" s="1"/>
  <c r="F111" i="1" s="1"/>
  <c r="E27" i="1"/>
  <c r="E105" i="1" s="1"/>
  <c r="E111" i="1" s="1"/>
  <c r="D27" i="1"/>
  <c r="D105" i="1" s="1"/>
  <c r="D111" i="1" s="1"/>
  <c r="O93" i="1" l="1"/>
  <c r="Q93" i="1"/>
  <c r="M93" i="1"/>
  <c r="N93" i="1"/>
  <c r="E61" i="1"/>
  <c r="E65" i="1" s="1"/>
  <c r="E89" i="1"/>
  <c r="E93" i="1" s="1"/>
  <c r="F61" i="1"/>
  <c r="F65" i="1" s="1"/>
  <c r="F89" i="1"/>
  <c r="F93" i="1" s="1"/>
  <c r="D61" i="1"/>
  <c r="D65" i="1" s="1"/>
  <c r="D89" i="1"/>
  <c r="D93" i="1" s="1"/>
  <c r="G61" i="1"/>
  <c r="G65" i="1" s="1"/>
  <c r="G89" i="1"/>
  <c r="G93" i="1" s="1"/>
  <c r="L61" i="1"/>
  <c r="L65" i="1" s="1"/>
  <c r="L89" i="1"/>
  <c r="L93" i="1" s="1"/>
</calcChain>
</file>

<file path=xl/sharedStrings.xml><?xml version="1.0" encoding="utf-8"?>
<sst xmlns="http://schemas.openxmlformats.org/spreadsheetml/2006/main" count="339" uniqueCount="102">
  <si>
    <t>Wybrane dane</t>
  </si>
  <si>
    <t>Aktywa razem</t>
  </si>
  <si>
    <t xml:space="preserve">Aktywa trwałe </t>
  </si>
  <si>
    <t>Aktywa obrotowe</t>
  </si>
  <si>
    <t>Zapasy</t>
  </si>
  <si>
    <t>Należności krótkoterminowe</t>
  </si>
  <si>
    <t>Inwestycje krótkoterminowe</t>
  </si>
  <si>
    <t>Kapitał własny</t>
  </si>
  <si>
    <t>Zobowiązania długoterminowe</t>
  </si>
  <si>
    <t>Zobowiązania krótkoterminowe</t>
  </si>
  <si>
    <t>Przychody netto ze sprzedaży produktów ,towarów i materiałów</t>
  </si>
  <si>
    <t>Zysk (strata) ze sprzedaży</t>
  </si>
  <si>
    <t>Pozostałe przychody operacyjne</t>
  </si>
  <si>
    <t>Zysk (strata) z działalności operacyjnej</t>
  </si>
  <si>
    <t xml:space="preserve">Przychody finansowe </t>
  </si>
  <si>
    <t>Zysk (strata) brutto</t>
  </si>
  <si>
    <t>Zysk (strata) netto</t>
  </si>
  <si>
    <t>2020 [tys. zł]</t>
  </si>
  <si>
    <t>2022 [tys. zł]</t>
  </si>
  <si>
    <t>Aktywa trwałe</t>
  </si>
  <si>
    <t>Zysk (strata) netto ze sprzedaży</t>
  </si>
  <si>
    <t>Przychody finansowe</t>
  </si>
  <si>
    <t>2018 [tys. zł]</t>
  </si>
  <si>
    <t>UNIMOT</t>
  </si>
  <si>
    <t>PKN ORLEN</t>
  </si>
  <si>
    <t>2012 [tys. zł]</t>
  </si>
  <si>
    <t>2014 [tys. zł]</t>
  </si>
  <si>
    <t>2016 [tys. zł]</t>
  </si>
  <si>
    <t>2024 [tys. zł]</t>
  </si>
  <si>
    <t>TOTA 2</t>
  </si>
  <si>
    <t>wskaźnik bieżącej płynności (CR)</t>
  </si>
  <si>
    <t>wskaźnik szybki płynności (QR)</t>
  </si>
  <si>
    <t>wskaźnik płynności środków pieniężnych (CaR)</t>
  </si>
  <si>
    <t>okres obrotu zapasów (DIO)</t>
  </si>
  <si>
    <t>okres ściągania należności (DSO)</t>
  </si>
  <si>
    <t>okres spłaty zobowiązań (DPO)</t>
  </si>
  <si>
    <t>rentowność działalności operacyjnej (ROS1)</t>
  </si>
  <si>
    <t>rentowność sprzedaży brutto (ROS2)</t>
  </si>
  <si>
    <t>rentowność sprzedaży netto (ROS3)</t>
  </si>
  <si>
    <t>wskaźnik rentowności aktywów (ROA)</t>
  </si>
  <si>
    <t>rentowność kapitału własnego (ROE)</t>
  </si>
  <si>
    <t>produktywność majątku (TOTA1)</t>
  </si>
  <si>
    <t>produktywność majątku (TOTA2)</t>
  </si>
  <si>
    <t>Analiza płynności</t>
  </si>
  <si>
    <t>Analiza sprawności</t>
  </si>
  <si>
    <t>Analiza rentowności</t>
  </si>
  <si>
    <t>Zysk netto = TOTA 2 * ROS 3 * Aktywa ogółem</t>
  </si>
  <si>
    <t>iZysk netto = iTOTA 2 * iROS 3 * iAktywa ogółem</t>
  </si>
  <si>
    <t>odchylenie</t>
  </si>
  <si>
    <t>dynamika</t>
  </si>
  <si>
    <t>wzrost</t>
  </si>
  <si>
    <t>Zysk netto</t>
  </si>
  <si>
    <t>ROS 3</t>
  </si>
  <si>
    <t>Aktywa ogółem</t>
  </si>
  <si>
    <t>wpływ 2 na 1</t>
  </si>
  <si>
    <t>wpływ 3 na 1</t>
  </si>
  <si>
    <t>wpływ 4 na 1</t>
  </si>
  <si>
    <t>Analiza przyczynowa</t>
  </si>
  <si>
    <t>BILANS</t>
  </si>
  <si>
    <t>dynamika wzrostu (łańcuchowa)</t>
  </si>
  <si>
    <t>dynamika wzrostu (jednopodstawowa)</t>
  </si>
  <si>
    <t>I. Aktywa trwałe</t>
  </si>
  <si>
    <t>II. Aktywa obrotowe</t>
  </si>
  <si>
    <t>I. Kapitał własny</t>
  </si>
  <si>
    <t>II. Zobowiązania długoterminowe i rezerwy na zob.</t>
  </si>
  <si>
    <t>III. Zobowiązania krótkoterminowe</t>
  </si>
  <si>
    <t>udział majątku trwałego w aktywach ogółem</t>
  </si>
  <si>
    <t>udział majątku obrotowego w aktywach ogółem</t>
  </si>
  <si>
    <t>udział kapitału własnego w pasywach ogółem</t>
  </si>
  <si>
    <t>udział zob. długoterm. oraz rezerw na zob. w pasywach ogółem</t>
  </si>
  <si>
    <t>udział zob. krótkoterminowych w pasywach ogółem</t>
  </si>
  <si>
    <t>wskaźnik pokrycia majątku trwałego kapitałem stałym</t>
  </si>
  <si>
    <t>wskaźnik pokrycia majątku obrotowego zobowiązaniami krótkoterminowymi</t>
  </si>
  <si>
    <t>kapitał obrotowy</t>
  </si>
  <si>
    <t>Analiza dyskryminacyjna</t>
  </si>
  <si>
    <t>Model Altmana</t>
  </si>
  <si>
    <t>X1</t>
  </si>
  <si>
    <t>X2</t>
  </si>
  <si>
    <t>X3</t>
  </si>
  <si>
    <t>X4</t>
  </si>
  <si>
    <t>X5</t>
  </si>
  <si>
    <t>X4*</t>
  </si>
  <si>
    <t>Z</t>
  </si>
  <si>
    <t>niskie</t>
  </si>
  <si>
    <t>stzara strefa</t>
  </si>
  <si>
    <t>szara strefa</t>
  </si>
  <si>
    <t>Amortyzacja</t>
  </si>
  <si>
    <t>Koszty finansowe</t>
  </si>
  <si>
    <t>Pozostałe koszty operacyjne</t>
  </si>
  <si>
    <t>Model Mączyńskiej</t>
  </si>
  <si>
    <t>X6</t>
  </si>
  <si>
    <t>W</t>
  </si>
  <si>
    <t>wysokie</t>
  </si>
  <si>
    <t>Model Tafflera</t>
  </si>
  <si>
    <t>ZT</t>
  </si>
  <si>
    <t>Model Poznański</t>
  </si>
  <si>
    <t>Z(P)</t>
  </si>
  <si>
    <t>Model logitowy</t>
  </si>
  <si>
    <t>Wynik modelu</t>
  </si>
  <si>
    <t>Model D. Hadasika</t>
  </si>
  <si>
    <t>Z(HA)</t>
  </si>
  <si>
    <t>*kapitał własny zamiast jego wartości rynkowej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</si>
</sst>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&quot;zł&quot;_-;\-* #,##0\ &quot;zł&quot;_-;_-* &quot;-&quot;\ &quot;zł&quot;_-;_-@_-"/>
    <numFmt numFmtId="165" formatCode="_-* #,##0.00\ &quot;zł&quot;_-;\-* #,##0.00\ &quot;zł&quot;_-;_-* &quot;-&quot;??\ &quot;zł&quot;_-;_-@_-"/>
    <numFmt numFmtId="166" formatCode="_-* #,##0.00\ _z_ł_-;\-* #,##0.00\ _z_ł_-;_-* &quot;-&quot;??\ _z_ł_-;_-@_-"/>
    <numFmt numFmtId="167" formatCode="\$#,##0\ ;\(\$#,##0\)"/>
    <numFmt numFmtId="168" formatCode="#,##0.0_);[Red]\(#,##0.0\)"/>
  </numFmts>
  <fonts count="16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name val="Arial CE"/>
    </font>
    <font>
      <sz val="10"/>
      <name val="Times New Roman"/>
      <family val="1"/>
      <charset val="238"/>
    </font>
    <font>
      <sz val="10"/>
      <color indexed="22"/>
      <name val="Arial"/>
      <family val="2"/>
      <charset val="238"/>
    </font>
    <font>
      <b/>
      <sz val="18"/>
      <color indexed="22"/>
      <name val="Arial"/>
      <family val="2"/>
      <charset val="238"/>
    </font>
    <font>
      <b/>
      <sz val="12"/>
      <color indexed="22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238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indexed="64"/>
      </top>
      <bottom/>
      <diagonal/>
    </border>
  </borders>
  <cellStyleXfs count="16">
    <xf numFmtId="0" fontId="0" fillId="0" borderId="0"/>
    <xf numFmtId="9" fontId="1" fillId="0" borderId="0" applyFont="0" applyFill="0" applyBorder="0" applyAlignment="0" applyProtection="0"/>
    <xf numFmtId="0" fontId="5" fillId="0" borderId="0"/>
    <xf numFmtId="3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66" fontId="5" fillId="0" borderId="0" applyFont="0" applyFill="0" applyBorder="0" applyAlignment="0" applyProtection="0"/>
    <xf numFmtId="2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" fillId="0" borderId="1" applyNumberFormat="0" applyFont="0" applyFill="0" applyAlignment="0" applyProtection="0"/>
  </cellStyleXfs>
  <cellXfs count="26">
    <xf numFmtId="0" fontId="0" fillId="0" borderId="0" xfId="0"/>
    <xf numFmtId="0" fontId="3" fillId="0" borderId="0" xfId="0" applyFont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/>
    <xf numFmtId="0" fontId="2" fillId="0" borderId="0" xfId="0" applyFont="1"/>
    <xf numFmtId="2" fontId="4" fillId="0" borderId="0" xfId="0" applyNumberFormat="1" applyFont="1"/>
    <xf numFmtId="10" fontId="4" fillId="0" borderId="0" xfId="1" applyNumberFormat="1" applyFont="1" applyFill="1"/>
    <xf numFmtId="10" fontId="0" fillId="0" borderId="0" xfId="1" applyNumberFormat="1" applyFont="1" applyFill="1"/>
    <xf numFmtId="2" fontId="0" fillId="0" borderId="0" xfId="0" applyNumberFormat="1"/>
    <xf numFmtId="10" fontId="0" fillId="0" borderId="0" xfId="1" applyNumberFormat="1" applyFont="1"/>
    <xf numFmtId="3" fontId="4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0" fontId="10" fillId="0" borderId="0" xfId="0" applyFont="1"/>
    <xf numFmtId="0" fontId="11" fillId="0" borderId="0" xfId="0" applyFont="1"/>
    <xf numFmtId="3" fontId="4" fillId="0" borderId="0" xfId="0" applyNumberFormat="1" applyFont="1"/>
    <xf numFmtId="10" fontId="0" fillId="0" borderId="0" xfId="0" applyNumberFormat="1"/>
    <xf numFmtId="10" fontId="4" fillId="0" borderId="0" xfId="0" applyNumberFormat="1" applyFont="1"/>
    <xf numFmtId="3" fontId="11" fillId="0" borderId="0" xfId="0" applyNumberFormat="1" applyFont="1"/>
    <xf numFmtId="10" fontId="11" fillId="0" borderId="0" xfId="0" applyNumberFormat="1" applyFont="1"/>
    <xf numFmtId="0" fontId="12" fillId="0" borderId="0" xfId="0" applyFont="1"/>
    <xf numFmtId="10" fontId="13" fillId="0" borderId="0" xfId="0" applyNumberFormat="1" applyFont="1"/>
    <xf numFmtId="10" fontId="14" fillId="0" borderId="0" xfId="0" applyNumberFormat="1" applyFont="1"/>
    <xf numFmtId="168" fontId="0" fillId="0" borderId="0" xfId="0" applyNumberFormat="1"/>
    <xf numFmtId="0" fontId="10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6">
    <cellStyle name="Comma0" xfId="3" xr:uid="{9EEA8670-79B9-4275-A36C-65D935D48040}"/>
    <cellStyle name="Currency [0]_Module1" xfId="4" xr:uid="{111B629D-4DBD-43BD-9EE8-F480E1F936E6}"/>
    <cellStyle name="Currency_Module1" xfId="5" xr:uid="{9A76E6F2-3C08-4482-AB33-107FF47D8E2D}"/>
    <cellStyle name="Currency0" xfId="6" xr:uid="{4EAD54F8-C8EA-4A21-A116-95BB1061768F}"/>
    <cellStyle name="Date" xfId="7" xr:uid="{BC79CFF4-3712-4EEA-9260-3165E03F8A5F}"/>
    <cellStyle name="Dziesiętny 2" xfId="8" xr:uid="{348DAB24-47CE-4C33-8E97-60412776A7C5}"/>
    <cellStyle name="Fixed" xfId="9" xr:uid="{D561EA43-28B3-426B-9842-D33A1E83C7B4}"/>
    <cellStyle name="Heading 1" xfId="10" xr:uid="{4C7B566E-D699-4D14-A2FD-B567DF507786}"/>
    <cellStyle name="Heading 2" xfId="11" xr:uid="{A3E84040-683B-4018-BDD8-571BF9EC0E1D}"/>
    <cellStyle name="Normal_Info" xfId="12" xr:uid="{4A59D1BB-4E34-47FF-A9B2-732902FF4E9C}"/>
    <cellStyle name="Normalny" xfId="0" builtinId="0"/>
    <cellStyle name="Normalny 2" xfId="2" xr:uid="{D5E3DBE0-1579-4E17-A0A4-216996976B09}"/>
    <cellStyle name="Percent_Module1" xfId="13" xr:uid="{F33B098B-75B0-4F0F-815A-D8E946F38EAB}"/>
    <cellStyle name="Procentowy" xfId="1" builtinId="5"/>
    <cellStyle name="Procentowy 2" xfId="14" xr:uid="{07B408EC-ACBB-4555-97C3-7EEA05BF3BFB}"/>
    <cellStyle name="Total" xfId="15" xr:uid="{E5AB0DA0-B9D9-4C98-A919-94FDB5F9E5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03810-F9F2-4F0B-B3FE-FA66FD7E2974}">
  <dimension ref="A1:T112"/>
  <sheetViews>
    <sheetView tabSelected="1" zoomScaleNormal="100" workbookViewId="0">
      <selection activeCell="K3" sqref="K3:Q21"/>
    </sheetView>
  </sheetViews>
  <sheetFormatPr baseColWidth="10" defaultColWidth="8.83203125" defaultRowHeight="15"/>
  <cols>
    <col min="1" max="1" width="59.1640625" customWidth="1"/>
    <col min="2" max="2" width="12" customWidth="1"/>
    <col min="3" max="8" width="11.83203125" bestFit="1" customWidth="1"/>
    <col min="9" max="9" width="8.83203125" customWidth="1"/>
    <col min="10" max="10" width="59.1640625" bestFit="1" customWidth="1"/>
    <col min="11" max="11" width="10.83203125" bestFit="1" customWidth="1"/>
    <col min="12" max="12" width="12.6640625" bestFit="1" customWidth="1"/>
    <col min="13" max="17" width="10.83203125" bestFit="1" customWidth="1"/>
    <col min="18" max="18" width="8.83203125" customWidth="1"/>
  </cols>
  <sheetData>
    <row r="1" spans="1:17" ht="16">
      <c r="A1" s="1" t="s">
        <v>24</v>
      </c>
      <c r="J1" s="1" t="s">
        <v>23</v>
      </c>
    </row>
    <row r="2" spans="1:17">
      <c r="A2" s="5" t="s">
        <v>0</v>
      </c>
      <c r="B2" s="5" t="s">
        <v>25</v>
      </c>
      <c r="C2" s="5" t="s">
        <v>26</v>
      </c>
      <c r="D2" s="5" t="s">
        <v>27</v>
      </c>
      <c r="E2" s="5" t="s">
        <v>22</v>
      </c>
      <c r="F2" s="5" t="s">
        <v>17</v>
      </c>
      <c r="G2" s="5" t="s">
        <v>18</v>
      </c>
      <c r="H2" s="5" t="s">
        <v>28</v>
      </c>
      <c r="J2" s="5" t="s">
        <v>0</v>
      </c>
      <c r="K2" s="5" t="s">
        <v>25</v>
      </c>
      <c r="L2" s="5" t="s">
        <v>26</v>
      </c>
      <c r="M2" s="5" t="s">
        <v>27</v>
      </c>
      <c r="N2" s="5" t="s">
        <v>22</v>
      </c>
      <c r="O2" s="5" t="s">
        <v>17</v>
      </c>
      <c r="P2" s="5" t="s">
        <v>18</v>
      </c>
      <c r="Q2" s="5" t="s">
        <v>28</v>
      </c>
    </row>
    <row r="3" spans="1:17">
      <c r="A3" t="s">
        <v>2</v>
      </c>
      <c r="B3" s="2">
        <v>26810637</v>
      </c>
      <c r="C3" s="2">
        <v>24971000</v>
      </c>
      <c r="D3" s="2">
        <v>30321000</v>
      </c>
      <c r="E3" s="2">
        <v>33867000</v>
      </c>
      <c r="F3" s="2">
        <v>59212000</v>
      </c>
      <c r="G3" s="2">
        <v>153117000</v>
      </c>
      <c r="H3" s="2">
        <v>186761000</v>
      </c>
      <c r="J3" t="s">
        <v>19</v>
      </c>
      <c r="K3" s="2">
        <v>11751</v>
      </c>
      <c r="L3" s="2">
        <v>54793</v>
      </c>
      <c r="M3" s="2">
        <v>81878</v>
      </c>
      <c r="N3" s="2">
        <v>76760</v>
      </c>
      <c r="O3" s="2">
        <v>148732</v>
      </c>
      <c r="P3" s="2">
        <v>269074</v>
      </c>
      <c r="Q3" s="2">
        <v>1531635</v>
      </c>
    </row>
    <row r="4" spans="1:17">
      <c r="A4" t="s">
        <v>3</v>
      </c>
      <c r="B4" s="2">
        <v>25820143</v>
      </c>
      <c r="C4" s="2">
        <v>21754000</v>
      </c>
      <c r="D4" s="2">
        <v>25238000</v>
      </c>
      <c r="E4" s="2">
        <v>30164000</v>
      </c>
      <c r="F4" s="2">
        <v>24615000</v>
      </c>
      <c r="G4" s="2">
        <v>119210000</v>
      </c>
      <c r="H4" s="2">
        <v>68607000</v>
      </c>
      <c r="J4" t="s">
        <v>3</v>
      </c>
      <c r="K4" s="2">
        <v>23654</v>
      </c>
      <c r="L4" s="2">
        <v>65807</v>
      </c>
      <c r="M4" s="2">
        <v>498688</v>
      </c>
      <c r="N4" s="2">
        <v>526525</v>
      </c>
      <c r="O4" s="2">
        <v>641603</v>
      </c>
      <c r="P4" s="2">
        <v>1396203</v>
      </c>
      <c r="Q4" s="2">
        <v>1870485</v>
      </c>
    </row>
    <row r="5" spans="1:17">
      <c r="A5" t="s">
        <v>4</v>
      </c>
      <c r="B5" s="2">
        <v>15011047</v>
      </c>
      <c r="C5" s="2">
        <v>9829000</v>
      </c>
      <c r="D5" s="2">
        <v>11182000</v>
      </c>
      <c r="E5" s="2">
        <v>14317000</v>
      </c>
      <c r="F5" s="2">
        <v>12279000</v>
      </c>
      <c r="G5" s="2">
        <v>44779000</v>
      </c>
      <c r="H5" s="2">
        <v>21162000</v>
      </c>
      <c r="J5" t="s">
        <v>4</v>
      </c>
      <c r="K5" s="2">
        <v>1851</v>
      </c>
      <c r="L5" s="2">
        <v>12785</v>
      </c>
      <c r="M5" s="2">
        <v>233523</v>
      </c>
      <c r="N5" s="2">
        <v>190500</v>
      </c>
      <c r="O5" s="2">
        <v>166695</v>
      </c>
      <c r="P5" s="2">
        <v>257175</v>
      </c>
      <c r="Q5" s="2">
        <v>628380</v>
      </c>
    </row>
    <row r="6" spans="1:17">
      <c r="A6" t="s">
        <v>5</v>
      </c>
      <c r="B6" s="2">
        <v>8164927</v>
      </c>
      <c r="C6" s="2">
        <v>7092000</v>
      </c>
      <c r="D6" s="2">
        <v>8674000</v>
      </c>
      <c r="E6" s="2">
        <v>10593000</v>
      </c>
      <c r="F6" s="2">
        <v>10089000</v>
      </c>
      <c r="G6" s="2">
        <v>37908000</v>
      </c>
      <c r="H6" s="2">
        <v>32720000</v>
      </c>
      <c r="J6" t="s">
        <v>5</v>
      </c>
      <c r="K6" s="2">
        <v>21008</v>
      </c>
      <c r="L6" s="2">
        <v>44516</v>
      </c>
      <c r="M6" s="2">
        <v>211011</v>
      </c>
      <c r="N6" s="2">
        <v>246487</v>
      </c>
      <c r="O6" s="2">
        <v>333993</v>
      </c>
      <c r="P6" s="2">
        <v>737802</v>
      </c>
      <c r="Q6" s="2">
        <v>785842</v>
      </c>
    </row>
    <row r="7" spans="1:17">
      <c r="A7" t="s">
        <v>6</v>
      </c>
      <c r="B7" s="2">
        <v>2579550</v>
      </c>
      <c r="C7" s="2">
        <v>4799000</v>
      </c>
      <c r="D7" s="2">
        <v>5321000</v>
      </c>
      <c r="E7" s="2">
        <v>4716000</v>
      </c>
      <c r="F7" s="2">
        <v>1691000</v>
      </c>
      <c r="G7" s="2">
        <v>24757000</v>
      </c>
      <c r="H7" s="2">
        <v>12585000</v>
      </c>
      <c r="J7" t="s">
        <v>6</v>
      </c>
      <c r="K7" s="2">
        <v>687</v>
      </c>
      <c r="L7" s="2">
        <v>8018</v>
      </c>
      <c r="M7" s="2">
        <v>52964</v>
      </c>
      <c r="N7" s="2">
        <v>80346</v>
      </c>
      <c r="O7" s="2">
        <v>131142</v>
      </c>
      <c r="P7" s="2">
        <v>392598</v>
      </c>
      <c r="Q7" s="2">
        <v>438973</v>
      </c>
    </row>
    <row r="8" spans="1:17">
      <c r="A8" t="s">
        <v>1</v>
      </c>
      <c r="B8" s="2">
        <v>52630780</v>
      </c>
      <c r="C8" s="2">
        <v>46725000</v>
      </c>
      <c r="D8" s="2">
        <v>55559000</v>
      </c>
      <c r="E8" s="2">
        <v>64031000</v>
      </c>
      <c r="F8" s="2">
        <v>83827000</v>
      </c>
      <c r="G8" s="2">
        <v>272327000</v>
      </c>
      <c r="H8" s="2">
        <v>255368000</v>
      </c>
      <c r="J8" t="s">
        <v>1</v>
      </c>
      <c r="K8" s="2">
        <v>35405</v>
      </c>
      <c r="L8" s="2">
        <v>120600</v>
      </c>
      <c r="M8" s="2">
        <v>580566</v>
      </c>
      <c r="N8" s="2">
        <v>603285</v>
      </c>
      <c r="O8" s="2">
        <v>790335</v>
      </c>
      <c r="P8" s="2">
        <v>1665277</v>
      </c>
      <c r="Q8" s="2">
        <v>3402120</v>
      </c>
    </row>
    <row r="9" spans="1:17">
      <c r="A9" t="s">
        <v>7</v>
      </c>
      <c r="B9" s="2">
        <v>26479187</v>
      </c>
      <c r="C9" s="2">
        <v>18771000</v>
      </c>
      <c r="D9" s="2">
        <v>26764000</v>
      </c>
      <c r="E9" s="2">
        <v>35634000</v>
      </c>
      <c r="F9" s="2">
        <v>41596000</v>
      </c>
      <c r="G9" s="2">
        <v>135948000</v>
      </c>
      <c r="H9" s="2">
        <v>145700000</v>
      </c>
      <c r="J9" t="s">
        <v>7</v>
      </c>
      <c r="K9" s="2">
        <v>14140</v>
      </c>
      <c r="L9" s="2">
        <v>41444</v>
      </c>
      <c r="M9" s="2">
        <v>85588</v>
      </c>
      <c r="N9" s="2">
        <v>187476</v>
      </c>
      <c r="O9" s="2">
        <v>265980</v>
      </c>
      <c r="P9" s="2">
        <v>704074</v>
      </c>
      <c r="Q9" s="2">
        <v>1183712</v>
      </c>
    </row>
    <row r="10" spans="1:17">
      <c r="A10" t="s">
        <v>8</v>
      </c>
      <c r="B10" s="2">
        <v>9196658</v>
      </c>
      <c r="C10" s="2">
        <v>12305000</v>
      </c>
      <c r="D10" s="2">
        <v>9652000</v>
      </c>
      <c r="E10" s="2">
        <v>11487000</v>
      </c>
      <c r="F10" s="2">
        <v>18524000</v>
      </c>
      <c r="G10" s="2">
        <v>41531000</v>
      </c>
      <c r="H10" s="2">
        <v>48405000</v>
      </c>
      <c r="J10" t="s">
        <v>8</v>
      </c>
      <c r="K10" s="2">
        <v>892</v>
      </c>
      <c r="L10" s="2">
        <v>15393</v>
      </c>
      <c r="M10" s="2">
        <v>37275</v>
      </c>
      <c r="N10" s="2">
        <v>13679</v>
      </c>
      <c r="O10" s="2">
        <v>52690</v>
      </c>
      <c r="P10" s="2">
        <v>96614</v>
      </c>
      <c r="Q10" s="2">
        <v>845070</v>
      </c>
    </row>
    <row r="11" spans="1:17">
      <c r="A11" t="s">
        <v>9</v>
      </c>
      <c r="B11" s="2">
        <v>15127289</v>
      </c>
      <c r="C11" s="12">
        <v>14034000</v>
      </c>
      <c r="D11" s="2">
        <v>16621000</v>
      </c>
      <c r="E11" s="2">
        <v>16898000</v>
      </c>
      <c r="F11" s="2">
        <v>22924000</v>
      </c>
      <c r="G11" s="2">
        <v>93837000</v>
      </c>
      <c r="H11" s="2">
        <v>60274000</v>
      </c>
      <c r="J11" t="s">
        <v>9</v>
      </c>
      <c r="K11" s="2">
        <v>18872</v>
      </c>
      <c r="L11" s="12">
        <v>57497</v>
      </c>
      <c r="M11" s="2">
        <v>447371</v>
      </c>
      <c r="N11" s="2">
        <v>396361</v>
      </c>
      <c r="O11" s="2">
        <v>471764</v>
      </c>
      <c r="P11" s="2">
        <v>864869</v>
      </c>
      <c r="Q11" s="2">
        <v>1372113</v>
      </c>
    </row>
    <row r="12" spans="1:17">
      <c r="A12" t="s">
        <v>10</v>
      </c>
      <c r="B12" s="2">
        <v>120101550</v>
      </c>
      <c r="C12" s="2">
        <v>106832000</v>
      </c>
      <c r="D12" s="2">
        <v>79553000</v>
      </c>
      <c r="E12" s="2">
        <v>109706000</v>
      </c>
      <c r="F12" s="2">
        <v>86180000</v>
      </c>
      <c r="G12" s="2">
        <v>277564000</v>
      </c>
      <c r="H12" s="2">
        <v>294976000</v>
      </c>
      <c r="J12" t="s">
        <v>10</v>
      </c>
      <c r="K12" s="2">
        <v>218007</v>
      </c>
      <c r="L12" s="2">
        <v>666236</v>
      </c>
      <c r="M12" s="2">
        <v>2531575</v>
      </c>
      <c r="N12" s="2">
        <v>3367462</v>
      </c>
      <c r="O12" s="2">
        <v>4819488</v>
      </c>
      <c r="P12" s="2">
        <v>13369364</v>
      </c>
      <c r="Q12" s="2">
        <v>14096814</v>
      </c>
    </row>
    <row r="13" spans="1:17">
      <c r="A13" s="4" t="s">
        <v>11</v>
      </c>
      <c r="B13" s="2">
        <v>2612268</v>
      </c>
      <c r="C13" s="11">
        <v>390000</v>
      </c>
      <c r="D13" s="11">
        <v>5779000</v>
      </c>
      <c r="E13" s="11">
        <v>6059000</v>
      </c>
      <c r="F13" s="11">
        <v>-7000</v>
      </c>
      <c r="G13" s="11">
        <v>37725000</v>
      </c>
      <c r="H13" s="2">
        <v>21601000</v>
      </c>
      <c r="J13" t="s">
        <v>20</v>
      </c>
      <c r="K13" s="2">
        <v>3053</v>
      </c>
      <c r="L13" s="2">
        <v>-1444</v>
      </c>
      <c r="M13" s="2">
        <v>50755</v>
      </c>
      <c r="N13" s="2">
        <v>4995</v>
      </c>
      <c r="O13" s="2">
        <v>55944</v>
      </c>
      <c r="P13" s="2">
        <v>473916</v>
      </c>
      <c r="Q13" s="2">
        <v>239442</v>
      </c>
    </row>
    <row r="14" spans="1:17">
      <c r="A14" t="s">
        <v>12</v>
      </c>
      <c r="B14" s="2">
        <v>726401</v>
      </c>
      <c r="C14" s="2">
        <v>823000</v>
      </c>
      <c r="D14" s="2">
        <v>2460000</v>
      </c>
      <c r="E14" s="2">
        <v>2129000</v>
      </c>
      <c r="F14" s="2">
        <v>10207000</v>
      </c>
      <c r="G14" s="2">
        <v>19308000</v>
      </c>
      <c r="H14" s="2">
        <v>8216000</v>
      </c>
      <c r="J14" t="s">
        <v>12</v>
      </c>
      <c r="K14" s="2">
        <v>300</v>
      </c>
      <c r="L14" s="2">
        <v>14084</v>
      </c>
      <c r="M14" s="2">
        <v>1158</v>
      </c>
      <c r="N14" s="2">
        <v>2871</v>
      </c>
      <c r="O14" s="2">
        <v>3070</v>
      </c>
      <c r="P14" s="2">
        <v>22336</v>
      </c>
      <c r="Q14" s="2">
        <v>15323</v>
      </c>
    </row>
    <row r="15" spans="1:17">
      <c r="A15" t="s">
        <v>88</v>
      </c>
      <c r="B15" s="2">
        <v>1314298</v>
      </c>
      <c r="C15" s="2">
        <v>5924000</v>
      </c>
      <c r="D15" s="2">
        <v>707000</v>
      </c>
      <c r="E15" s="2">
        <v>1085000</v>
      </c>
      <c r="F15" s="2">
        <v>6226000</v>
      </c>
      <c r="G15" s="2">
        <v>15940000</v>
      </c>
      <c r="H15" s="2">
        <v>21870000</v>
      </c>
      <c r="J15" t="s">
        <v>88</v>
      </c>
      <c r="K15" s="2">
        <v>690</v>
      </c>
      <c r="L15" s="2">
        <v>5799</v>
      </c>
      <c r="M15" s="2">
        <v>10967</v>
      </c>
      <c r="N15" s="2">
        <v>7139</v>
      </c>
      <c r="O15" s="2">
        <v>9759</v>
      </c>
      <c r="P15" s="2">
        <v>10878</v>
      </c>
      <c r="Q15" s="2">
        <v>21262</v>
      </c>
    </row>
    <row r="16" spans="1:17">
      <c r="A16" t="s">
        <v>13</v>
      </c>
      <c r="B16" s="2">
        <v>2024371</v>
      </c>
      <c r="C16" s="2">
        <v>-4711000</v>
      </c>
      <c r="D16" s="2">
        <v>7532000</v>
      </c>
      <c r="E16" s="2">
        <v>7103000</v>
      </c>
      <c r="F16" s="2">
        <v>3974000</v>
      </c>
      <c r="G16" s="2">
        <v>41093000</v>
      </c>
      <c r="H16" s="2">
        <v>7947000</v>
      </c>
      <c r="J16" t="s">
        <v>13</v>
      </c>
      <c r="K16" s="2">
        <v>2663</v>
      </c>
      <c r="L16" s="2">
        <v>6841</v>
      </c>
      <c r="M16" s="2">
        <v>40946</v>
      </c>
      <c r="N16" s="2">
        <v>727</v>
      </c>
      <c r="O16" s="2">
        <v>49255</v>
      </c>
      <c r="P16" s="2">
        <v>485374</v>
      </c>
      <c r="Q16" s="2">
        <v>233503</v>
      </c>
    </row>
    <row r="17" spans="1:20">
      <c r="A17" t="s">
        <v>14</v>
      </c>
      <c r="B17" s="2">
        <v>1581994</v>
      </c>
      <c r="C17" s="2">
        <v>354000</v>
      </c>
      <c r="D17" s="2">
        <v>248000</v>
      </c>
      <c r="E17" s="2">
        <v>1413000</v>
      </c>
      <c r="F17" s="2">
        <v>852000</v>
      </c>
      <c r="G17" s="2">
        <v>2263000</v>
      </c>
      <c r="H17" s="2">
        <v>1476000</v>
      </c>
      <c r="J17" t="s">
        <v>21</v>
      </c>
      <c r="K17" s="2">
        <v>117</v>
      </c>
      <c r="L17" s="2">
        <v>9</v>
      </c>
      <c r="M17" s="2">
        <v>262</v>
      </c>
      <c r="N17" s="2">
        <v>7530</v>
      </c>
      <c r="O17" s="2">
        <v>903</v>
      </c>
      <c r="P17" s="2">
        <v>819</v>
      </c>
      <c r="Q17" s="2">
        <v>55343</v>
      </c>
    </row>
    <row r="18" spans="1:20">
      <c r="A18" t="s">
        <v>87</v>
      </c>
      <c r="B18" s="2">
        <v>981226</v>
      </c>
      <c r="C18" s="2">
        <v>1889000</v>
      </c>
      <c r="D18" s="2">
        <v>893000</v>
      </c>
      <c r="E18" s="2">
        <v>1517000</v>
      </c>
      <c r="F18" s="2">
        <v>1889000</v>
      </c>
      <c r="G18" s="2">
        <v>2749000</v>
      </c>
      <c r="H18" s="2">
        <v>1605000</v>
      </c>
      <c r="J18" t="s">
        <v>87</v>
      </c>
      <c r="K18" s="2">
        <v>759</v>
      </c>
      <c r="L18" s="2">
        <v>1382</v>
      </c>
      <c r="M18" s="2">
        <v>3670</v>
      </c>
      <c r="N18" s="2">
        <v>8478</v>
      </c>
      <c r="O18" s="2">
        <v>6426</v>
      </c>
      <c r="P18" s="2">
        <v>21969</v>
      </c>
      <c r="Q18" s="2">
        <v>101632</v>
      </c>
    </row>
    <row r="19" spans="1:20">
      <c r="A19" t="s">
        <v>15</v>
      </c>
      <c r="B19" s="2">
        <v>2624443</v>
      </c>
      <c r="C19" s="2">
        <v>-6246000</v>
      </c>
      <c r="D19" s="2">
        <v>6887000</v>
      </c>
      <c r="E19" s="2">
        <v>6999000</v>
      </c>
      <c r="F19" s="2">
        <v>2922000</v>
      </c>
      <c r="G19" s="2">
        <v>40593000</v>
      </c>
      <c r="H19" s="2">
        <v>7619000</v>
      </c>
      <c r="J19" t="s">
        <v>15</v>
      </c>
      <c r="K19" s="2">
        <v>2021</v>
      </c>
      <c r="L19" s="2">
        <v>5468</v>
      </c>
      <c r="M19" s="2">
        <v>37538</v>
      </c>
      <c r="N19" s="2">
        <v>-221</v>
      </c>
      <c r="O19" s="2">
        <v>43732</v>
      </c>
      <c r="P19" s="2">
        <v>464224</v>
      </c>
      <c r="Q19" s="2">
        <v>187214</v>
      </c>
    </row>
    <row r="20" spans="1:20">
      <c r="A20" t="s">
        <v>16</v>
      </c>
      <c r="B20" s="2">
        <v>2169990</v>
      </c>
      <c r="C20" s="2">
        <v>-5828000</v>
      </c>
      <c r="D20" s="2">
        <v>5740000</v>
      </c>
      <c r="E20" s="2">
        <v>5511000</v>
      </c>
      <c r="F20" s="2">
        <v>2825000</v>
      </c>
      <c r="G20" s="2">
        <v>33630000</v>
      </c>
      <c r="H20" s="2">
        <v>1383000</v>
      </c>
      <c r="J20" t="s">
        <v>16</v>
      </c>
      <c r="K20" s="2">
        <v>1541</v>
      </c>
      <c r="L20" s="2">
        <v>3838</v>
      </c>
      <c r="M20" s="2">
        <v>29643</v>
      </c>
      <c r="N20" s="2">
        <v>-3140</v>
      </c>
      <c r="O20" s="2">
        <v>34735</v>
      </c>
      <c r="P20" s="2">
        <v>373897</v>
      </c>
      <c r="Q20" s="2">
        <v>139341</v>
      </c>
    </row>
    <row r="21" spans="1:20">
      <c r="A21" t="s">
        <v>86</v>
      </c>
      <c r="B21" s="2">
        <v>2260122</v>
      </c>
      <c r="C21" s="2">
        <v>1991000</v>
      </c>
      <c r="D21" s="2">
        <v>2110000</v>
      </c>
      <c r="E21" s="2">
        <v>2673000</v>
      </c>
      <c r="F21" s="2">
        <v>4537000</v>
      </c>
      <c r="G21" s="2">
        <v>6946000</v>
      </c>
      <c r="H21" s="2">
        <v>14014000</v>
      </c>
      <c r="J21" t="s">
        <v>86</v>
      </c>
      <c r="K21" s="2">
        <v>527</v>
      </c>
      <c r="L21" s="12">
        <v>1552</v>
      </c>
      <c r="M21" s="2">
        <v>3715</v>
      </c>
      <c r="N21" s="2">
        <v>5533</v>
      </c>
      <c r="O21" s="2">
        <v>9025</v>
      </c>
      <c r="P21" s="2">
        <v>16485</v>
      </c>
      <c r="Q21" s="2">
        <v>136550</v>
      </c>
    </row>
    <row r="25" spans="1:20">
      <c r="T25" s="6"/>
    </row>
    <row r="26" spans="1:20">
      <c r="A26" s="13" t="s">
        <v>43</v>
      </c>
      <c r="C26" s="2"/>
      <c r="D26" s="2"/>
      <c r="E26" s="2"/>
      <c r="F26" s="2"/>
      <c r="G26" s="2"/>
      <c r="J26" s="13" t="s">
        <v>43</v>
      </c>
      <c r="L26" s="2"/>
      <c r="M26" s="2"/>
      <c r="N26" s="2"/>
      <c r="O26" s="2"/>
      <c r="P26" s="2"/>
    </row>
    <row r="27" spans="1:20">
      <c r="A27" t="s">
        <v>30</v>
      </c>
      <c r="B27" s="6">
        <f>B4/B11</f>
        <v>1.706858578559582</v>
      </c>
      <c r="C27" s="6">
        <f>C4/C11</f>
        <v>1.5500926321789938</v>
      </c>
      <c r="D27" s="6">
        <f>D4/D11</f>
        <v>1.5184405270441008</v>
      </c>
      <c r="E27" s="6">
        <f>E4/E11</f>
        <v>1.7850633211030891</v>
      </c>
      <c r="F27" s="6">
        <f>F4/F11</f>
        <v>1.0737654859535857</v>
      </c>
      <c r="G27" s="6">
        <f>G4/G11</f>
        <v>1.2703944073233373</v>
      </c>
      <c r="H27" s="6">
        <f>H4/H11</f>
        <v>1.1382519826127351</v>
      </c>
      <c r="J27" t="s">
        <v>30</v>
      </c>
      <c r="K27" s="6">
        <f>K4/K11</f>
        <v>1.2533912674862229</v>
      </c>
      <c r="L27" s="6">
        <f>L4/L11</f>
        <v>1.1445292797885107</v>
      </c>
      <c r="M27" s="6">
        <f>M4/M11</f>
        <v>1.1147079269778326</v>
      </c>
      <c r="N27" s="6">
        <f>N4/N11</f>
        <v>1.3283975971399811</v>
      </c>
      <c r="O27" s="6">
        <f>O4/O11</f>
        <v>1.3600083940275223</v>
      </c>
      <c r="P27" s="6">
        <f>P4/P11</f>
        <v>1.6143520001294993</v>
      </c>
      <c r="Q27" s="6">
        <f>Q4/Q11</f>
        <v>1.3632149830225353</v>
      </c>
    </row>
    <row r="28" spans="1:20">
      <c r="A28" t="s">
        <v>31</v>
      </c>
      <c r="B28" s="6">
        <f>(B4-B5)/B11</f>
        <v>0.71454283712038558</v>
      </c>
      <c r="C28" s="6">
        <f>(C4-C5)/C11</f>
        <v>0.84972210346301835</v>
      </c>
      <c r="D28" s="6">
        <f>(D4-D5)/D11</f>
        <v>0.8456771554058119</v>
      </c>
      <c r="E28" s="6">
        <f>(E4-E5)/E11</f>
        <v>0.93780329033021659</v>
      </c>
      <c r="F28" s="6">
        <f>(F4-F5)/F11</f>
        <v>0.53812598150410051</v>
      </c>
      <c r="G28" s="6">
        <f>(G4-G5)/G11</f>
        <v>0.79319458209448301</v>
      </c>
      <c r="H28" s="6">
        <f>(H4-H5)/H11</f>
        <v>0.7871553240203073</v>
      </c>
      <c r="J28" t="s">
        <v>31</v>
      </c>
      <c r="K28" s="6">
        <f>(K4-K5)/K11</f>
        <v>1.1553094531581178</v>
      </c>
      <c r="L28" s="6">
        <f>(L4-L5)/L11</f>
        <v>0.92216985234012205</v>
      </c>
      <c r="M28" s="6">
        <f>(M4-M5)/M11</f>
        <v>0.59271834785893585</v>
      </c>
      <c r="N28" s="6">
        <f>(N4-N5)/N11</f>
        <v>0.84777513428415008</v>
      </c>
      <c r="O28" s="6">
        <f>(O4-O5)/O11</f>
        <v>1.0066643491237144</v>
      </c>
      <c r="P28" s="6">
        <f>(P4-P5)/P11</f>
        <v>1.316994828118478</v>
      </c>
      <c r="Q28" s="6">
        <f>(Q4-Q5)/Q11</f>
        <v>0.90524978627853536</v>
      </c>
    </row>
    <row r="29" spans="1:20">
      <c r="A29" t="s">
        <v>32</v>
      </c>
      <c r="B29" s="6">
        <f>B7/B11</f>
        <v>0.17052295358408237</v>
      </c>
      <c r="C29" s="6">
        <f>C7/C11</f>
        <v>0.34195525153199374</v>
      </c>
      <c r="D29" s="6">
        <f>D7/D11</f>
        <v>0.32013717586186152</v>
      </c>
      <c r="E29" s="6">
        <f>E7/E11</f>
        <v>0.27908628240028405</v>
      </c>
      <c r="F29" s="6">
        <f>F7/F11</f>
        <v>7.3765485953585758E-2</v>
      </c>
      <c r="G29" s="6">
        <f>G7/G11</f>
        <v>0.26382983258203052</v>
      </c>
      <c r="H29" s="6">
        <f>H7/H11</f>
        <v>0.20879649600159272</v>
      </c>
      <c r="J29" t="s">
        <v>32</v>
      </c>
      <c r="K29" s="6">
        <f>K7/K11</f>
        <v>3.6403136922424757E-2</v>
      </c>
      <c r="L29" s="6">
        <f>L7/L11</f>
        <v>0.13945075395238013</v>
      </c>
      <c r="M29" s="6">
        <f>M7/M11</f>
        <v>0.1183894351667855</v>
      </c>
      <c r="N29" s="6">
        <f>N7/N11</f>
        <v>0.20270914645991911</v>
      </c>
      <c r="O29" s="6">
        <f>O7/O11</f>
        <v>0.27798221144470542</v>
      </c>
      <c r="P29" s="6">
        <f>P7/P11</f>
        <v>0.45393926710287918</v>
      </c>
      <c r="Q29" s="6">
        <f>Q7/Q11</f>
        <v>0.3199248166878384</v>
      </c>
    </row>
    <row r="30" spans="1:20">
      <c r="B30" s="7"/>
      <c r="C30" s="7"/>
      <c r="D30" s="7"/>
      <c r="E30" s="7"/>
      <c r="F30" s="7"/>
      <c r="G30" s="7"/>
      <c r="H30" s="7"/>
      <c r="K30" s="7"/>
      <c r="L30" s="7"/>
      <c r="M30" s="7"/>
      <c r="N30" s="7"/>
      <c r="O30" s="7"/>
      <c r="P30" s="7"/>
      <c r="Q30" s="7"/>
    </row>
    <row r="31" spans="1:20">
      <c r="A31" s="13" t="s">
        <v>44</v>
      </c>
      <c r="B31" s="6"/>
      <c r="C31" s="6"/>
      <c r="D31" s="6"/>
      <c r="E31" s="6"/>
      <c r="F31" s="6"/>
      <c r="G31" s="6"/>
      <c r="H31" s="6"/>
      <c r="J31" s="13" t="s">
        <v>44</v>
      </c>
      <c r="K31" s="6"/>
      <c r="L31" s="6"/>
      <c r="M31" s="6"/>
      <c r="N31" s="6"/>
      <c r="O31" s="6"/>
      <c r="P31" s="6"/>
      <c r="Q31" s="6"/>
    </row>
    <row r="32" spans="1:20">
      <c r="A32" t="s">
        <v>33</v>
      </c>
      <c r="B32" s="6">
        <f>B5*365/B12</f>
        <v>45.619995370584313</v>
      </c>
      <c r="C32" s="6">
        <f>C5*365/C12</f>
        <v>33.581557960161746</v>
      </c>
      <c r="D32" s="6">
        <f>D5*365/D12</f>
        <v>51.304539112289923</v>
      </c>
      <c r="E32" s="6">
        <f>E5*365/E12</f>
        <v>47.633721036224088</v>
      </c>
      <c r="F32" s="6">
        <f>F5*365/F12</f>
        <v>52.005511719656532</v>
      </c>
      <c r="G32" s="6">
        <f>G5*365/G12</f>
        <v>58.884923837385251</v>
      </c>
      <c r="H32" s="6">
        <f>H5*365/H12</f>
        <v>26.18562188110219</v>
      </c>
      <c r="J32" t="s">
        <v>33</v>
      </c>
      <c r="K32" s="6">
        <f>K5*365/K12</f>
        <v>3.0990518653070773</v>
      </c>
      <c r="L32" s="6">
        <f>L5*365/L12</f>
        <v>7.004312285736586</v>
      </c>
      <c r="M32" s="6">
        <f>M5*365/M12</f>
        <v>33.669117051637812</v>
      </c>
      <c r="N32" s="6">
        <f>N5*365/N12</f>
        <v>20.648339907027903</v>
      </c>
      <c r="O32" s="6">
        <f>O5*365/O12</f>
        <v>12.624510113937415</v>
      </c>
      <c r="P32" s="6">
        <f>P5*365/P12</f>
        <v>7.0211922571634675</v>
      </c>
      <c r="Q32" s="6">
        <f>Q5*365/Q12</f>
        <v>16.270250852426656</v>
      </c>
    </row>
    <row r="33" spans="1:18">
      <c r="A33" t="s">
        <v>34</v>
      </c>
      <c r="B33" s="6">
        <f>B6*365/B12</f>
        <v>24.813987454783057</v>
      </c>
      <c r="C33" s="6">
        <f>C6*365/C12</f>
        <v>24.230380410363935</v>
      </c>
      <c r="D33" s="6">
        <f>D6*365/D12</f>
        <v>39.797493494902767</v>
      </c>
      <c r="E33" s="6">
        <f>E6*365/E12</f>
        <v>35.243696789601294</v>
      </c>
      <c r="F33" s="6">
        <f>F6*365/F12</f>
        <v>42.730157809236481</v>
      </c>
      <c r="G33" s="6">
        <f>G6*365/G12</f>
        <v>49.849476156850315</v>
      </c>
      <c r="H33" s="6">
        <f>H6*365/H12</f>
        <v>40.4873616836624</v>
      </c>
      <c r="J33" t="s">
        <v>34</v>
      </c>
      <c r="K33" s="6">
        <f>K6*365/K12</f>
        <v>35.172815551794208</v>
      </c>
      <c r="L33" s="6">
        <f>L6*365/L12</f>
        <v>24.388264819073122</v>
      </c>
      <c r="M33" s="6">
        <f>M6*365/M12</f>
        <v>30.42335897613146</v>
      </c>
      <c r="N33" s="6">
        <f>N6*365/N12</f>
        <v>26.716784034979458</v>
      </c>
      <c r="O33" s="6">
        <f>O6*365/O12</f>
        <v>25.294687941955662</v>
      </c>
      <c r="P33" s="6">
        <f>P6*365/P12</f>
        <v>20.142897597821406</v>
      </c>
      <c r="Q33" s="6">
        <f>Q6*365/Q12</f>
        <v>20.347316067304288</v>
      </c>
    </row>
    <row r="34" spans="1:18">
      <c r="A34" t="s">
        <v>35</v>
      </c>
      <c r="B34" s="6">
        <f>B11*365/B12</f>
        <v>45.973265832122898</v>
      </c>
      <c r="C34" s="6">
        <f>C11*365/C12</f>
        <v>47.948273925415606</v>
      </c>
      <c r="D34" s="6">
        <f>D11*365/D12</f>
        <v>76.259411964350804</v>
      </c>
      <c r="E34" s="6">
        <f>E11*365/E12</f>
        <v>56.220899495013946</v>
      </c>
      <c r="F34" s="6">
        <f>F11*365/F12</f>
        <v>97.090508238570436</v>
      </c>
      <c r="G34" s="6">
        <f>G11*365/G12</f>
        <v>123.39678416509345</v>
      </c>
      <c r="H34" s="6">
        <f>H11*365/H12</f>
        <v>74.582372803211115</v>
      </c>
      <c r="J34" t="s">
        <v>35</v>
      </c>
      <c r="K34" s="6">
        <f>K11*365/K12</f>
        <v>31.596600109170808</v>
      </c>
      <c r="L34" s="6">
        <f>L11*365/L12</f>
        <v>31.499956471880836</v>
      </c>
      <c r="M34" s="6">
        <f>M11*365/M12</f>
        <v>64.501511904644346</v>
      </c>
      <c r="N34" s="6">
        <f>N11*365/N12</f>
        <v>42.961662225141666</v>
      </c>
      <c r="O34" s="6">
        <f>O11*365/O12</f>
        <v>35.728662463730586</v>
      </c>
      <c r="P34" s="6">
        <f>P11*365/P12</f>
        <v>23.611982215459165</v>
      </c>
      <c r="Q34" s="6">
        <f>Q11*365/Q12</f>
        <v>35.527264884107858</v>
      </c>
    </row>
    <row r="35" spans="1:18">
      <c r="A35" t="s">
        <v>41</v>
      </c>
      <c r="B35" s="10">
        <f>B12/B8</f>
        <v>2.2819640902148897</v>
      </c>
      <c r="C35" s="10">
        <f>C12/C8</f>
        <v>2.286399143927234</v>
      </c>
      <c r="D35" s="10">
        <f>D12/D8</f>
        <v>1.4318652243560899</v>
      </c>
      <c r="E35" s="10">
        <f>E12/E8</f>
        <v>1.7133263575455639</v>
      </c>
      <c r="F35" s="10">
        <f>F12/F8</f>
        <v>1.0280697150082909</v>
      </c>
      <c r="G35" s="10">
        <f>G12/G8</f>
        <v>1.0192305573813834</v>
      </c>
      <c r="H35" s="10">
        <f>H12/H8</f>
        <v>1.1551016572162527</v>
      </c>
      <c r="J35" t="s">
        <v>41</v>
      </c>
      <c r="K35" s="10">
        <f>K12/K8</f>
        <v>6.1575201242762319</v>
      </c>
      <c r="L35" s="10">
        <f>L12/L8</f>
        <v>5.5243449419568824</v>
      </c>
      <c r="M35" s="10">
        <f>M12/M8</f>
        <v>4.3605292077042055</v>
      </c>
      <c r="N35" s="10">
        <f>N12/N8</f>
        <v>5.5818758961353261</v>
      </c>
      <c r="O35" s="10">
        <f>O12/O8</f>
        <v>6.0980318472546449</v>
      </c>
      <c r="P35" s="10">
        <f>P12/P8</f>
        <v>8.0283124068848615</v>
      </c>
      <c r="Q35" s="10">
        <f>Q12/Q8</f>
        <v>4.143538146802582</v>
      </c>
    </row>
    <row r="36" spans="1:18">
      <c r="A36" t="s">
        <v>42</v>
      </c>
      <c r="B36" s="10">
        <f>(B12+B14+B17)/B8</f>
        <v>2.3258242610122823</v>
      </c>
      <c r="C36" s="10">
        <f>(C12+C14+C17)/C8</f>
        <v>2.3115890850722312</v>
      </c>
      <c r="D36" s="10">
        <f>(D12+D14+D17)/D8</f>
        <v>1.4806062024154503</v>
      </c>
      <c r="E36" s="10">
        <f>(E12+E14+E17)/E8</f>
        <v>1.7686433133950743</v>
      </c>
      <c r="F36" s="10">
        <f>(F12+F14+F17)/F8</f>
        <v>1.1599961826141936</v>
      </c>
      <c r="G36" s="10">
        <f>(G12+G14+G17)/G8</f>
        <v>1.0984404778079295</v>
      </c>
      <c r="H36" s="10">
        <f>(H12+H14+H17)/H8</f>
        <v>1.1930547288618778</v>
      </c>
      <c r="J36" t="s">
        <v>42</v>
      </c>
      <c r="K36" s="10">
        <f>(K12+K14+K17)/K8</f>
        <v>6.1692981217342187</v>
      </c>
      <c r="L36" s="10">
        <f>(L12+L14+L17)/L8</f>
        <v>5.6412023217247098</v>
      </c>
      <c r="M36" s="10">
        <f>(M12+M14+M17)/M8</f>
        <v>4.3629750967159637</v>
      </c>
      <c r="N36" s="10">
        <f>(N12+N14+N17)/N8</f>
        <v>5.5991165038083164</v>
      </c>
      <c r="O36" s="10">
        <f>(O12+O14+O17)/O8</f>
        <v>6.1030588294837003</v>
      </c>
      <c r="P36" s="10">
        <f>(P12+P14+P17)/P8</f>
        <v>8.0422170005350466</v>
      </c>
      <c r="Q36" s="10">
        <f>(Q12+Q14+Q17)/Q8</f>
        <v>4.1643093130165898</v>
      </c>
    </row>
    <row r="38" spans="1:18">
      <c r="A38" s="13" t="s">
        <v>45</v>
      </c>
      <c r="J38" s="13" t="s">
        <v>45</v>
      </c>
    </row>
    <row r="39" spans="1:18">
      <c r="A39" t="s">
        <v>36</v>
      </c>
      <c r="B39" s="7">
        <f>B16/(B12+B14)</f>
        <v>1.6754161460538215E-2</v>
      </c>
      <c r="C39" s="7">
        <f>C16/(C12+C14)</f>
        <v>-4.3760159769634481E-2</v>
      </c>
      <c r="D39" s="7">
        <f>D16/(D12+D14)</f>
        <v>9.1839098679477649E-2</v>
      </c>
      <c r="E39" s="7">
        <f>E16/(E12+E14)</f>
        <v>6.351321142754951E-2</v>
      </c>
      <c r="F39" s="7">
        <f>F16/(F12+F14)</f>
        <v>4.1229626401900671E-2</v>
      </c>
      <c r="G39" s="7">
        <f>G16/(G12+G14)</f>
        <v>0.13841992508555875</v>
      </c>
      <c r="H39" s="7">
        <f>H16/(H12+H14)</f>
        <v>2.6211113749703158E-2</v>
      </c>
      <c r="J39" t="s">
        <v>36</v>
      </c>
      <c r="K39" s="7">
        <f>K16/(K12+K14)</f>
        <v>1.2198417824439894E-2</v>
      </c>
      <c r="L39" s="7">
        <f>L16/(L12+L14)</f>
        <v>1.0055562088428975E-2</v>
      </c>
      <c r="M39" s="7">
        <f>M16/(M12+M14)</f>
        <v>1.6166725825422577E-2</v>
      </c>
      <c r="N39" s="7">
        <f>N17/(N12+N14)</f>
        <v>2.2342005967956281E-3</v>
      </c>
      <c r="O39" s="7">
        <f>O16/(O12+O14)</f>
        <v>1.0213459330089965E-2</v>
      </c>
      <c r="P39" s="7">
        <f>P16/(P12+P14)</f>
        <v>3.6244390181978392E-2</v>
      </c>
      <c r="Q39" s="7">
        <f>Q16/(Q12+Q14)</f>
        <v>1.6546253767235963E-2</v>
      </c>
    </row>
    <row r="40" spans="1:18">
      <c r="A40" t="s">
        <v>37</v>
      </c>
      <c r="B40" s="7">
        <f>B19/(B12+B14+B17)</f>
        <v>2.143978579518192E-2</v>
      </c>
      <c r="C40" s="7">
        <f>C19/(C12+C14+C17)</f>
        <v>-5.7828514290475794E-2</v>
      </c>
      <c r="D40" s="7">
        <f>D19/(D12+D14+D17)</f>
        <v>8.3721326023267401E-2</v>
      </c>
      <c r="E40" s="7">
        <f>E19/(E12+E14+E17)</f>
        <v>6.1802415936705282E-2</v>
      </c>
      <c r="F40" s="7">
        <f>F19/(F12+F14+F17)</f>
        <v>3.0049671428130687E-2</v>
      </c>
      <c r="G40" s="7">
        <f>G19/(G12+G14+G17)</f>
        <v>0.13570127200093604</v>
      </c>
      <c r="H40" s="7">
        <f>H19/(H12+H14+H17)</f>
        <v>2.5007549201097587E-2</v>
      </c>
      <c r="J40" t="s">
        <v>37</v>
      </c>
      <c r="K40" s="7">
        <f>K19/(K12+K14+K17)</f>
        <v>9.2526462293520857E-3</v>
      </c>
      <c r="L40" s="7">
        <f>L19/(L12+L14+L17)</f>
        <v>8.0372878416178056E-3</v>
      </c>
      <c r="M40" s="7">
        <f>M19/(M12+M14+M17)</f>
        <v>1.4819610776965609E-2</v>
      </c>
      <c r="N40" s="7">
        <f>N19/(N12+N14+N17)</f>
        <v>-6.5425980864232804E-5</v>
      </c>
      <c r="O40" s="7">
        <f>O19/(O12+O14+O17)</f>
        <v>9.0665188336756537E-3</v>
      </c>
      <c r="P40" s="7">
        <f>P19/(P12+P14+P17)</f>
        <v>3.4662933836420169E-2</v>
      </c>
      <c r="Q40" s="7">
        <f>Q19/(Q12+Q14+Q17)</f>
        <v>1.3214347223359412E-2</v>
      </c>
    </row>
    <row r="41" spans="1:18">
      <c r="A41" t="s">
        <v>38</v>
      </c>
      <c r="B41" s="7">
        <f>B20/(B12+B14+B17)</f>
        <v>1.7727236132652459E-2</v>
      </c>
      <c r="C41" s="7">
        <f>C20/(C12+C14+C17)</f>
        <v>-5.3958466424094291E-2</v>
      </c>
      <c r="D41" s="7">
        <f>D20/(D12+D14+D17)</f>
        <v>6.9777902043495696E-2</v>
      </c>
      <c r="E41" s="7">
        <f>E20/(E12+E14+E17)</f>
        <v>4.8663111048318733E-2</v>
      </c>
      <c r="F41" s="7">
        <f>F20/(F12+F14+F17)</f>
        <v>2.9052129289688294E-2</v>
      </c>
      <c r="G41" s="7">
        <f>G20/(G12+G14+G17)</f>
        <v>0.11242415631738178</v>
      </c>
      <c r="H41" s="7">
        <f>H20/(H12+H14+H17)</f>
        <v>4.5393674425932493E-3</v>
      </c>
      <c r="J41" t="s">
        <v>38</v>
      </c>
      <c r="K41" s="7">
        <f>K20/(K12+K17+K14)</f>
        <v>7.0550855217375377E-3</v>
      </c>
      <c r="L41" s="7">
        <f>L20/(L12+L17+L14)</f>
        <v>5.6413882107039385E-3</v>
      </c>
      <c r="M41" s="7">
        <f>M20/(M12+M17+M14)</f>
        <v>1.1702747143203993E-2</v>
      </c>
      <c r="N41" s="7">
        <f>N20/(N12+N17+N14)</f>
        <v>-9.2958180956421261E-4</v>
      </c>
      <c r="O41" s="7">
        <f>O20/(O12+O17+O14)</f>
        <v>7.2012606715385489E-3</v>
      </c>
      <c r="P41" s="7">
        <f>P20/(P12+P17+P14)</f>
        <v>2.7918347549105587E-2</v>
      </c>
      <c r="Q41" s="7">
        <f>Q20/(Q12+Q17+Q14)</f>
        <v>9.8352706338741963E-3</v>
      </c>
    </row>
    <row r="42" spans="1:18">
      <c r="A42" t="s">
        <v>39</v>
      </c>
      <c r="B42" s="7">
        <f>B20/B8</f>
        <v>4.1230435878016627E-2</v>
      </c>
      <c r="C42" s="7">
        <f>C20/C8</f>
        <v>-0.12472980203317283</v>
      </c>
      <c r="D42" s="7">
        <f>D20/D8</f>
        <v>0.10331359455713746</v>
      </c>
      <c r="E42" s="7">
        <f>E20/E8</f>
        <v>8.6067685964610896E-2</v>
      </c>
      <c r="F42" s="7">
        <f>F20/F8</f>
        <v>3.3700359072852425E-2</v>
      </c>
      <c r="G42" s="7">
        <f>G20/G8</f>
        <v>0.12349124398241819</v>
      </c>
      <c r="H42" s="7">
        <f>H20/H8</f>
        <v>5.4157137934275242E-3</v>
      </c>
      <c r="J42" t="s">
        <v>39</v>
      </c>
      <c r="K42" s="7">
        <f>K20/K8</f>
        <v>4.3524925857929671E-2</v>
      </c>
      <c r="L42" s="7">
        <f>L20/L8</f>
        <v>3.1824212271973469E-2</v>
      </c>
      <c r="M42" s="7">
        <f>M20/M8</f>
        <v>5.1058794348962912E-2</v>
      </c>
      <c r="N42" s="7">
        <f>N20/N8</f>
        <v>-5.2048368515709821E-3</v>
      </c>
      <c r="O42" s="7">
        <f>O20/O8</f>
        <v>4.3949717524847061E-2</v>
      </c>
      <c r="P42" s="7">
        <f>P20/P8</f>
        <v>0.22452540928626288</v>
      </c>
      <c r="Q42" s="7">
        <f>Q20/Q8</f>
        <v>4.0957109096680891E-2</v>
      </c>
    </row>
    <row r="43" spans="1:18">
      <c r="A43" t="s">
        <v>40</v>
      </c>
      <c r="B43" s="7">
        <f>B20/B9</f>
        <v>8.1950778926860562E-2</v>
      </c>
      <c r="C43" s="7">
        <f>C20/C9</f>
        <v>-0.31047893026477014</v>
      </c>
      <c r="D43" s="7">
        <f>D20/D9</f>
        <v>0.21446719473920192</v>
      </c>
      <c r="E43" s="7">
        <f>E20/E9</f>
        <v>0.15465566593702643</v>
      </c>
      <c r="F43" s="7">
        <f>F20/F9</f>
        <v>6.7915184152322339E-2</v>
      </c>
      <c r="G43" s="7">
        <f>G20/G9</f>
        <v>0.24737399593962398</v>
      </c>
      <c r="H43" s="7">
        <f>H20/H9</f>
        <v>9.4921070693205212E-3</v>
      </c>
      <c r="J43" t="s">
        <v>40</v>
      </c>
      <c r="K43" s="7">
        <f>K20/K9</f>
        <v>0.10898161244695898</v>
      </c>
      <c r="L43" s="7">
        <f>L20/L9</f>
        <v>9.2606891226715574E-2</v>
      </c>
      <c r="M43" s="7">
        <f>M20/M9</f>
        <v>0.34634528204888537</v>
      </c>
      <c r="N43" s="7">
        <f>N20/N9</f>
        <v>-1.6748810514412512E-2</v>
      </c>
      <c r="O43" s="7">
        <f>O20/O9</f>
        <v>0.13059252575381608</v>
      </c>
      <c r="P43" s="7">
        <f>P20/P9</f>
        <v>0.53104787280882404</v>
      </c>
      <c r="Q43" s="7">
        <f>Q20/Q9</f>
        <v>0.11771528885404559</v>
      </c>
    </row>
    <row r="46" spans="1:18">
      <c r="A46" s="20" t="s">
        <v>57</v>
      </c>
      <c r="J46" s="20" t="s">
        <v>57</v>
      </c>
    </row>
    <row r="47" spans="1:18">
      <c r="A47" s="14" t="s">
        <v>46</v>
      </c>
      <c r="B47" s="14"/>
      <c r="C47" s="4"/>
      <c r="D47" s="4">
        <v>2012</v>
      </c>
      <c r="E47" s="4">
        <v>2024</v>
      </c>
      <c r="F47" s="4" t="s">
        <v>48</v>
      </c>
      <c r="G47" s="4" t="s">
        <v>49</v>
      </c>
      <c r="H47" s="4" t="s">
        <v>50</v>
      </c>
      <c r="J47" s="14" t="s">
        <v>46</v>
      </c>
      <c r="K47" s="14"/>
      <c r="L47" s="14"/>
      <c r="M47" s="4">
        <v>2012</v>
      </c>
      <c r="N47" s="4">
        <v>2024</v>
      </c>
      <c r="O47" s="4" t="s">
        <v>48</v>
      </c>
      <c r="P47" s="4" t="s">
        <v>49</v>
      </c>
      <c r="Q47" s="4" t="s">
        <v>50</v>
      </c>
    </row>
    <row r="48" spans="1:18">
      <c r="A48" s="14" t="s">
        <v>47</v>
      </c>
      <c r="B48" s="14">
        <v>1</v>
      </c>
      <c r="C48" s="4" t="s">
        <v>51</v>
      </c>
      <c r="D48" s="15">
        <v>2169990</v>
      </c>
      <c r="E48" s="15">
        <v>1383000</v>
      </c>
      <c r="F48" s="15">
        <v>-786990</v>
      </c>
      <c r="G48" s="17">
        <v>0.63729999999999998</v>
      </c>
      <c r="H48" s="17">
        <v>-0.36270000000000002</v>
      </c>
      <c r="J48" s="14" t="s">
        <v>47</v>
      </c>
      <c r="K48" s="14">
        <v>1</v>
      </c>
      <c r="L48" s="4" t="s">
        <v>51</v>
      </c>
      <c r="M48" s="18">
        <v>1541</v>
      </c>
      <c r="N48" s="18">
        <v>139341</v>
      </c>
      <c r="O48" s="15">
        <v>137800</v>
      </c>
      <c r="P48" s="17">
        <v>90.422499999999999</v>
      </c>
      <c r="Q48" s="17">
        <v>89.422499999999999</v>
      </c>
      <c r="R48" s="8"/>
    </row>
    <row r="49" spans="1:18">
      <c r="B49" s="14">
        <v>2</v>
      </c>
      <c r="C49" s="4" t="s">
        <v>29</v>
      </c>
      <c r="D49" s="17">
        <v>2.3258000000000001</v>
      </c>
      <c r="E49" s="17">
        <v>1.1931</v>
      </c>
      <c r="F49" s="17">
        <v>-1.1328</v>
      </c>
      <c r="G49" s="17">
        <v>0.51300000000000001</v>
      </c>
      <c r="H49" s="17">
        <v>-0.48699999999999999</v>
      </c>
      <c r="K49" s="14">
        <v>2</v>
      </c>
      <c r="L49" s="4" t="s">
        <v>29</v>
      </c>
      <c r="M49" s="19">
        <v>6.1692999999999998</v>
      </c>
      <c r="N49" s="19">
        <v>4.1642999999999999</v>
      </c>
      <c r="O49" s="17">
        <v>-2.0049999999999999</v>
      </c>
      <c r="P49" s="17">
        <v>0.67500000000000004</v>
      </c>
      <c r="Q49" s="17">
        <v>-0.32500000000000001</v>
      </c>
      <c r="R49" s="9"/>
    </row>
    <row r="50" spans="1:18">
      <c r="B50" s="14">
        <v>3</v>
      </c>
      <c r="C50" s="4" t="s">
        <v>52</v>
      </c>
      <c r="D50" s="17">
        <v>1.77E-2</v>
      </c>
      <c r="E50" s="17">
        <v>4.4999999999999997E-3</v>
      </c>
      <c r="F50" s="17">
        <v>-1.32E-2</v>
      </c>
      <c r="G50" s="17">
        <v>0.25609999999999999</v>
      </c>
      <c r="H50" s="17">
        <v>-0.74390000000000001</v>
      </c>
      <c r="K50" s="14">
        <v>3</v>
      </c>
      <c r="L50" s="4" t="s">
        <v>52</v>
      </c>
      <c r="M50" s="19">
        <v>7.1000000000000004E-3</v>
      </c>
      <c r="N50" s="19">
        <v>9.7999999999999997E-3</v>
      </c>
      <c r="O50" s="17">
        <v>2.8E-3</v>
      </c>
      <c r="P50" s="17">
        <v>1.3940999999999999</v>
      </c>
      <c r="Q50" s="17">
        <v>0.39410000000000001</v>
      </c>
      <c r="R50" s="9"/>
    </row>
    <row r="51" spans="1:18">
      <c r="B51" s="14">
        <v>4</v>
      </c>
      <c r="C51" s="4" t="s">
        <v>53</v>
      </c>
      <c r="D51" s="18">
        <v>52630780</v>
      </c>
      <c r="E51" s="18">
        <v>255368000</v>
      </c>
      <c r="F51" s="15">
        <v>202737220</v>
      </c>
      <c r="G51" s="17">
        <v>4.8521000000000001</v>
      </c>
      <c r="H51" s="17">
        <v>3.8521000000000001</v>
      </c>
      <c r="K51" s="14">
        <v>4</v>
      </c>
      <c r="L51" s="4" t="s">
        <v>53</v>
      </c>
      <c r="M51" s="18">
        <v>35405</v>
      </c>
      <c r="N51" s="18">
        <v>3402120</v>
      </c>
      <c r="O51" s="15">
        <v>3366715</v>
      </c>
      <c r="P51" s="17">
        <v>96.091499999999996</v>
      </c>
      <c r="Q51" s="17">
        <v>95.091499999999996</v>
      </c>
      <c r="R51" s="9"/>
    </row>
    <row r="52" spans="1:18">
      <c r="B52" s="14"/>
      <c r="C52" s="14"/>
      <c r="D52" s="14"/>
      <c r="E52" s="14"/>
      <c r="F52" s="14"/>
      <c r="G52" s="14"/>
      <c r="H52" s="22">
        <v>2.6211000000000002</v>
      </c>
      <c r="I52" s="7"/>
      <c r="K52" s="14"/>
      <c r="L52" s="14"/>
      <c r="M52" s="14"/>
      <c r="N52" s="14"/>
      <c r="O52" s="14"/>
      <c r="P52" s="14"/>
      <c r="Q52" s="21">
        <v>95.160600000000002</v>
      </c>
      <c r="R52" s="8"/>
    </row>
    <row r="53" spans="1:18">
      <c r="B53" s="14"/>
      <c r="C53" s="14" t="s">
        <v>54</v>
      </c>
      <c r="D53" s="19">
        <v>-0.18579999999999999</v>
      </c>
      <c r="E53" s="18">
        <v>146235</v>
      </c>
      <c r="F53" s="14"/>
      <c r="G53" s="14"/>
      <c r="H53" s="14"/>
      <c r="I53" s="6"/>
      <c r="K53" s="14"/>
      <c r="L53" s="14" t="s">
        <v>54</v>
      </c>
      <c r="M53" s="19">
        <v>-3.3999999999999998E-3</v>
      </c>
      <c r="N53" s="14">
        <v>-471</v>
      </c>
      <c r="O53" s="14"/>
      <c r="P53" s="14"/>
      <c r="Q53" s="14"/>
      <c r="R53" s="8"/>
    </row>
    <row r="54" spans="1:18">
      <c r="B54" s="14"/>
      <c r="C54" s="14" t="s">
        <v>55</v>
      </c>
      <c r="D54" s="19">
        <v>-0.2838</v>
      </c>
      <c r="E54" s="18">
        <v>223368</v>
      </c>
      <c r="F54" s="14"/>
      <c r="G54" s="14"/>
      <c r="H54" s="14"/>
      <c r="I54" s="6"/>
      <c r="K54" s="14"/>
      <c r="L54" s="14" t="s">
        <v>55</v>
      </c>
      <c r="M54" s="19">
        <v>4.1000000000000003E-3</v>
      </c>
      <c r="N54" s="14">
        <v>571</v>
      </c>
      <c r="O54" s="14"/>
      <c r="P54" s="14"/>
      <c r="Q54" s="14"/>
      <c r="R54" s="9"/>
    </row>
    <row r="55" spans="1:18">
      <c r="B55" s="14"/>
      <c r="C55" s="14" t="s">
        <v>56</v>
      </c>
      <c r="D55" s="19">
        <v>1.4696</v>
      </c>
      <c r="E55" s="18">
        <v>-1156593</v>
      </c>
      <c r="F55" s="14"/>
      <c r="G55" s="14"/>
      <c r="H55" s="14"/>
      <c r="I55" s="6"/>
      <c r="K55" s="14"/>
      <c r="L55" s="14" t="s">
        <v>56</v>
      </c>
      <c r="M55" s="19">
        <v>0.99929999999999997</v>
      </c>
      <c r="N55" s="18">
        <v>137700</v>
      </c>
      <c r="O55" s="14"/>
      <c r="P55" s="14"/>
      <c r="Q55" s="14"/>
    </row>
    <row r="56" spans="1:18">
      <c r="I56" s="7"/>
      <c r="L56" s="8"/>
      <c r="M56" s="8"/>
      <c r="N56" s="8"/>
      <c r="O56" s="8"/>
      <c r="P56" s="8"/>
      <c r="Q56" s="8"/>
    </row>
    <row r="57" spans="1:18">
      <c r="C57" s="7"/>
      <c r="D57" s="7"/>
      <c r="E57" s="7"/>
      <c r="F57" s="7"/>
      <c r="G57" s="7"/>
      <c r="H57" s="7"/>
      <c r="I57" s="7"/>
      <c r="L57" s="8"/>
      <c r="M57" s="8"/>
      <c r="N57" s="8"/>
      <c r="O57" s="8"/>
      <c r="P57" s="8"/>
      <c r="Q57" s="8"/>
    </row>
    <row r="58" spans="1:18">
      <c r="A58" s="13" t="s">
        <v>74</v>
      </c>
      <c r="C58" s="6"/>
      <c r="D58" s="6"/>
      <c r="E58" s="6"/>
      <c r="F58" s="6"/>
      <c r="G58" s="6"/>
      <c r="H58" s="6"/>
      <c r="I58" s="6"/>
      <c r="J58" s="13" t="s">
        <v>74</v>
      </c>
      <c r="L58" s="9"/>
      <c r="M58" s="9"/>
      <c r="N58" s="9"/>
      <c r="O58" s="9"/>
      <c r="P58" s="9"/>
      <c r="Q58" s="9"/>
    </row>
    <row r="59" spans="1:18">
      <c r="A59" t="s">
        <v>75</v>
      </c>
      <c r="J59" t="s">
        <v>75</v>
      </c>
    </row>
    <row r="60" spans="1:18">
      <c r="A60" t="s">
        <v>76</v>
      </c>
      <c r="B60" s="10">
        <v>0.49059016415869194</v>
      </c>
      <c r="C60" s="10">
        <v>0.46557517388978065</v>
      </c>
      <c r="D60" s="10">
        <v>0.45425583613815945</v>
      </c>
      <c r="E60" s="10">
        <v>0.47108431853321048</v>
      </c>
      <c r="F60" s="10">
        <v>0.29364047383301323</v>
      </c>
      <c r="G60" s="10">
        <v>0.43774579824989812</v>
      </c>
      <c r="H60" s="10">
        <v>0.26865934651170076</v>
      </c>
      <c r="J60" t="s">
        <v>76</v>
      </c>
      <c r="K60" s="10">
        <v>0.49059016415869194</v>
      </c>
      <c r="L60" s="10">
        <v>0.46557517388978065</v>
      </c>
      <c r="M60" s="10">
        <v>0.45425583613815945</v>
      </c>
      <c r="N60" s="10">
        <v>0.47108431853321048</v>
      </c>
      <c r="O60" s="10">
        <v>0.29364047383301323</v>
      </c>
      <c r="P60" s="10">
        <v>0.43774579824989812</v>
      </c>
      <c r="Q60" s="10">
        <v>0.26865934651170076</v>
      </c>
    </row>
    <row r="61" spans="1:18">
      <c r="A61" t="s">
        <v>77</v>
      </c>
      <c r="B61" s="10">
        <f>B42</f>
        <v>4.1230435878016627E-2</v>
      </c>
      <c r="C61" s="10">
        <f t="shared" ref="C61:H61" si="0">C42</f>
        <v>-0.12472980203317283</v>
      </c>
      <c r="D61" s="10">
        <f t="shared" si="0"/>
        <v>0.10331359455713746</v>
      </c>
      <c r="E61" s="10">
        <f t="shared" si="0"/>
        <v>8.6067685964610896E-2</v>
      </c>
      <c r="F61" s="10">
        <f t="shared" si="0"/>
        <v>3.3700359072852425E-2</v>
      </c>
      <c r="G61" s="10">
        <f t="shared" si="0"/>
        <v>0.12349124398241819</v>
      </c>
      <c r="H61" s="10">
        <f t="shared" si="0"/>
        <v>5.4157137934275242E-3</v>
      </c>
      <c r="J61" t="s">
        <v>77</v>
      </c>
      <c r="K61" s="10">
        <f>K42</f>
        <v>4.3524925857929671E-2</v>
      </c>
      <c r="L61" s="10">
        <f t="shared" ref="L61:Q61" si="1">L42</f>
        <v>3.1824212271973469E-2</v>
      </c>
      <c r="M61" s="10">
        <f t="shared" si="1"/>
        <v>5.1058794348962912E-2</v>
      </c>
      <c r="N61" s="10">
        <f t="shared" si="1"/>
        <v>-5.2048368515709821E-3</v>
      </c>
      <c r="O61" s="10">
        <f t="shared" si="1"/>
        <v>4.3949717524847061E-2</v>
      </c>
      <c r="P61" s="10">
        <f t="shared" si="1"/>
        <v>0.22452540928626288</v>
      </c>
      <c r="Q61" s="10">
        <f t="shared" si="1"/>
        <v>4.0957109096680891E-2</v>
      </c>
    </row>
    <row r="62" spans="1:18">
      <c r="A62" t="s">
        <v>78</v>
      </c>
      <c r="B62" s="10">
        <f>B19/B8</f>
        <v>4.9865173953340614E-2</v>
      </c>
      <c r="C62" s="10">
        <f>C19/C8</f>
        <v>-0.13367576243980739</v>
      </c>
      <c r="D62" s="10">
        <f>D19/D8</f>
        <v>0.12395831458449576</v>
      </c>
      <c r="E62" s="10">
        <f>E19/E8</f>
        <v>0.10930642969811498</v>
      </c>
      <c r="F62" s="10">
        <f>F19/F8</f>
        <v>3.4857504145442399E-2</v>
      </c>
      <c r="G62" s="10">
        <f>G19/G8</f>
        <v>0.14905977005585197</v>
      </c>
      <c r="H62" s="10">
        <f>H19/H8</f>
        <v>2.9835374831615552E-2</v>
      </c>
      <c r="J62" t="s">
        <v>78</v>
      </c>
      <c r="K62" s="10">
        <f>K19/K8</f>
        <v>5.7082333003813018E-2</v>
      </c>
      <c r="L62" s="10">
        <f>L19/L8</f>
        <v>4.5339966832504144E-2</v>
      </c>
      <c r="M62" s="10">
        <f>M19/M8</f>
        <v>6.465759276292446E-2</v>
      </c>
      <c r="N62" s="10">
        <f>N19/N8</f>
        <v>-3.6632768923477294E-4</v>
      </c>
      <c r="O62" s="10">
        <f>O19/O8</f>
        <v>5.5333497820544454E-2</v>
      </c>
      <c r="P62" s="10">
        <f>P19/P8</f>
        <v>0.27876683578767975</v>
      </c>
      <c r="Q62" s="10">
        <f>Q19/Q8</f>
        <v>5.5028629207670508E-2</v>
      </c>
    </row>
    <row r="63" spans="1:18">
      <c r="A63" t="s">
        <v>81</v>
      </c>
      <c r="B63" s="10">
        <f>B9/(B10+B11)</f>
        <v>1.0886056855821959</v>
      </c>
      <c r="C63" s="10">
        <f>C9/(C10+C11)</f>
        <v>0.71266942556665025</v>
      </c>
      <c r="D63" s="10">
        <f>D9/(D10+D11)</f>
        <v>1.0186883873177788</v>
      </c>
      <c r="E63" s="10">
        <f>E9/(E10+E11)</f>
        <v>1.2553813633961599</v>
      </c>
      <c r="F63" s="10">
        <f>F9/(F10+F11)</f>
        <v>1.003570739239529</v>
      </c>
      <c r="G63" s="10">
        <f>G9/(G10+G11)</f>
        <v>1.0042846167484192</v>
      </c>
      <c r="H63" s="10">
        <f>H9/(H10+H11)</f>
        <v>1.3406453868732691</v>
      </c>
      <c r="J63" t="s">
        <v>81</v>
      </c>
      <c r="K63" s="10">
        <f>K9/(K10+K11)</f>
        <v>0.71544221817445863</v>
      </c>
      <c r="L63" s="10">
        <f>L9/(L10+L11)</f>
        <v>0.56858279599396355</v>
      </c>
      <c r="M63" s="10">
        <f>M9/(M10+M11)</f>
        <v>0.17659900215827634</v>
      </c>
      <c r="N63" s="10">
        <f>N9/(N10+N11)</f>
        <v>0.45721393034825869</v>
      </c>
      <c r="O63" s="10">
        <f>O9/(O10+O11)</f>
        <v>0.5071560136828015</v>
      </c>
      <c r="P63" s="10">
        <f>P9/(P10+P11)</f>
        <v>0.73227919786413276</v>
      </c>
      <c r="Q63" s="10">
        <f>Q9/(Q10+Q11)</f>
        <v>0.53388105537522157</v>
      </c>
    </row>
    <row r="64" spans="1:18">
      <c r="A64" t="s">
        <v>80</v>
      </c>
      <c r="B64" s="16">
        <f>B35</f>
        <v>2.2819640902148897</v>
      </c>
      <c r="C64" s="16">
        <f t="shared" ref="C64:H64" si="2">C35</f>
        <v>2.286399143927234</v>
      </c>
      <c r="D64" s="16">
        <f t="shared" si="2"/>
        <v>1.4318652243560899</v>
      </c>
      <c r="E64" s="16">
        <f t="shared" si="2"/>
        <v>1.7133263575455639</v>
      </c>
      <c r="F64" s="16">
        <f t="shared" si="2"/>
        <v>1.0280697150082909</v>
      </c>
      <c r="G64" s="16">
        <f t="shared" si="2"/>
        <v>1.0192305573813834</v>
      </c>
      <c r="H64" s="16">
        <f t="shared" si="2"/>
        <v>1.1551016572162527</v>
      </c>
      <c r="J64" t="s">
        <v>80</v>
      </c>
      <c r="K64" s="10">
        <f>K35</f>
        <v>6.1575201242762319</v>
      </c>
      <c r="L64" s="10">
        <f t="shared" ref="L64:Q64" si="3">L35</f>
        <v>5.5243449419568824</v>
      </c>
      <c r="M64" s="10">
        <f t="shared" si="3"/>
        <v>4.3605292077042055</v>
      </c>
      <c r="N64" s="10">
        <f t="shared" si="3"/>
        <v>5.5818758961353261</v>
      </c>
      <c r="O64" s="10">
        <f t="shared" si="3"/>
        <v>6.0980318472546449</v>
      </c>
      <c r="P64" s="10">
        <f t="shared" si="3"/>
        <v>8.0283124068848615</v>
      </c>
      <c r="Q64" s="10">
        <f t="shared" si="3"/>
        <v>4.143538146802582</v>
      </c>
    </row>
    <row r="65" spans="1:17">
      <c r="A65" t="s">
        <v>82</v>
      </c>
      <c r="B65" s="9">
        <f>1.2*B60+1.4*B61+3.3*B62+0.6*B63+0.999*B64</f>
        <v>3.7438314187396702</v>
      </c>
      <c r="C65" s="9">
        <f t="shared" ref="C65:H65" si="4">1.2*C60+1.4*C61+3.3*C62+0.6*C63+0.999*C64</f>
        <v>2.6546528698932277</v>
      </c>
      <c r="D65" s="9">
        <f t="shared" si="4"/>
        <v>3.1404548653970208</v>
      </c>
      <c r="E65" s="9">
        <f t="shared" si="4"/>
        <v>3.5113490098198019</v>
      </c>
      <c r="F65" s="9">
        <f t="shared" si="4"/>
        <v>2.1437629238185689</v>
      </c>
      <c r="G65" s="9">
        <f t="shared" si="4"/>
        <v>2.8108620375326279</v>
      </c>
      <c r="H65" s="9">
        <f t="shared" si="4"/>
        <v>2.3867637397521686</v>
      </c>
      <c r="J65" t="s">
        <v>82</v>
      </c>
      <c r="K65" s="9">
        <f>1.2*K60+1.4*K61+3.3*K62+0.6*K63+0.999*K64</f>
        <v>7.418642727160746</v>
      </c>
      <c r="L65" s="9">
        <f t="shared" ref="L65" si="5">1.2*L60+1.4*L61+3.3*L62+0.6*L63+0.999*L64</f>
        <v>6.6128362710070672</v>
      </c>
      <c r="M65" s="9">
        <f t="shared" ref="M65" si="6">1.2*M60+1.4*M61+3.3*M62+0.6*M63+0.999*M64</f>
        <v>5.2920874513634573</v>
      </c>
      <c r="N65" s="9">
        <f t="shared" ref="N65" si="7">1.2*N60+1.4*N61+3.3*N62+0.6*N63+0.999*N64</f>
        <v>6.4074279077213241</v>
      </c>
      <c r="O65" s="9">
        <f t="shared" ref="O65" si="8">1.2*O60+1.4*O61+3.3*O62+0.6*O63+0.999*O64</f>
        <v>6.9927261395592701</v>
      </c>
      <c r="P65" s="9">
        <f t="shared" ref="P65" si="9">1.2*P60+1.4*P61+3.3*P62+0.6*P63+0.999*P64</f>
        <v>10.219212702196444</v>
      </c>
      <c r="Q65" s="9">
        <f t="shared" ref="Q65" si="10">1.2*Q60+1.4*Q61+3.3*Q62+0.6*Q63+0.999*Q64</f>
        <v>5.0210488868156187</v>
      </c>
    </row>
    <row r="66" spans="1:17">
      <c r="A66" t="s">
        <v>101</v>
      </c>
      <c r="B66" s="3" t="s">
        <v>83</v>
      </c>
      <c r="C66" s="3" t="s">
        <v>84</v>
      </c>
      <c r="D66" s="3" t="s">
        <v>83</v>
      </c>
      <c r="E66" s="3" t="s">
        <v>83</v>
      </c>
      <c r="F66" s="3" t="s">
        <v>85</v>
      </c>
      <c r="G66" s="3" t="s">
        <v>85</v>
      </c>
      <c r="H66" s="3" t="s">
        <v>85</v>
      </c>
      <c r="K66" s="25" t="s">
        <v>83</v>
      </c>
      <c r="L66" s="25" t="s">
        <v>83</v>
      </c>
      <c r="M66" s="25" t="s">
        <v>83</v>
      </c>
      <c r="N66" s="25" t="s">
        <v>83</v>
      </c>
      <c r="O66" s="25" t="s">
        <v>83</v>
      </c>
      <c r="P66" s="25" t="s">
        <v>83</v>
      </c>
      <c r="Q66" s="25" t="s">
        <v>83</v>
      </c>
    </row>
    <row r="69" spans="1:17">
      <c r="A69" t="s">
        <v>89</v>
      </c>
      <c r="J69" t="s">
        <v>89</v>
      </c>
    </row>
    <row r="70" spans="1:17">
      <c r="A70" t="s">
        <v>76</v>
      </c>
      <c r="B70" s="10">
        <f>(B20+B21)/(B10+B11)</f>
        <v>0.18212965190230024</v>
      </c>
      <c r="C70" s="10">
        <f>(C20+C21)/(C10+C11)</f>
        <v>-0.14567751243403318</v>
      </c>
      <c r="D70" s="10">
        <f>(D20+D21)/(D10+D11)</f>
        <v>0.29878582575267387</v>
      </c>
      <c r="E70" s="10">
        <f>(E20+E21)/(E10+E11)</f>
        <v>0.28832129645939758</v>
      </c>
      <c r="F70" s="10">
        <f>(F20+F21)/(F10+F11)</f>
        <v>0.17762015055008687</v>
      </c>
      <c r="G70" s="10">
        <f>(G20+G21)/(G10+G11)</f>
        <v>0.29974587790319723</v>
      </c>
      <c r="H70" s="10">
        <f>(H20+H21)/(H10+H11)</f>
        <v>0.14167410447280523</v>
      </c>
      <c r="J70" t="s">
        <v>76</v>
      </c>
      <c r="K70" s="10">
        <f>(K20+K21)/(K10+K11)</f>
        <v>0.10463468933414288</v>
      </c>
      <c r="L70" s="10">
        <f>(L20+L21)/(L10+L11)</f>
        <v>7.3947043490190698E-2</v>
      </c>
      <c r="M70" s="10">
        <f>(M20+M21)/(M10+M11)</f>
        <v>6.8829619970039987E-2</v>
      </c>
      <c r="N70" s="10">
        <f>(N20+N21)/(N10+N11)</f>
        <v>5.8360159984391768E-3</v>
      </c>
      <c r="O70" s="10">
        <f>(O20+O21)/(O10+O11)</f>
        <v>8.3439157676364367E-2</v>
      </c>
      <c r="P70" s="10">
        <f>(P20+P21)/(P10+P11)</f>
        <v>0.40602069927393414</v>
      </c>
      <c r="Q70" s="10">
        <f>(Q20+Q21)/(Q10+Q11)</f>
        <v>0.12443312076630571</v>
      </c>
    </row>
    <row r="71" spans="1:17">
      <c r="A71" t="s">
        <v>77</v>
      </c>
      <c r="B71" s="10">
        <f>B8/(B10+B11)</f>
        <v>2.1637434089130352</v>
      </c>
      <c r="C71" s="10">
        <f>C8/(C10+C11)</f>
        <v>1.7739853449257754</v>
      </c>
      <c r="D71" s="10">
        <f>D8/(D10+D11)</f>
        <v>2.1146804704449433</v>
      </c>
      <c r="E71" s="10">
        <f>E8/(E10+E11)</f>
        <v>2.2558041218953671</v>
      </c>
      <c r="F71" s="10">
        <f>F8/(F10+F11)</f>
        <v>2.0224618799459564</v>
      </c>
      <c r="G71" s="10">
        <f>G8/(G10+G11)</f>
        <v>2.0117531469771288</v>
      </c>
      <c r="H71" s="10">
        <f>H8/(H10+H11)</f>
        <v>2.3497455810230128</v>
      </c>
      <c r="J71" t="s">
        <v>77</v>
      </c>
      <c r="K71" s="10">
        <f>K8/(K10+K11)</f>
        <v>1.7913883829184376</v>
      </c>
      <c r="L71" s="10">
        <f>L8/(L10+L11)</f>
        <v>1.6545479489641925</v>
      </c>
      <c r="M71" s="10">
        <f>M8/(M10+M11)</f>
        <v>1.19791765536082</v>
      </c>
      <c r="N71" s="10">
        <f>N8/(N10+N11)</f>
        <v>1.4712832894351771</v>
      </c>
      <c r="O71" s="10">
        <f>O8/(O10+O11)</f>
        <v>1.5069672459357732</v>
      </c>
      <c r="P71" s="10">
        <f>P8/(P10+P11)</f>
        <v>1.731987981066748</v>
      </c>
      <c r="Q71" s="10">
        <f>Q8/(Q10+Q11)</f>
        <v>1.5344335582583846</v>
      </c>
    </row>
    <row r="72" spans="1:17">
      <c r="A72" t="s">
        <v>78</v>
      </c>
      <c r="B72" s="10">
        <f>B19/B8</f>
        <v>4.9865173953340614E-2</v>
      </c>
      <c r="C72" s="10">
        <f>C19/C8</f>
        <v>-0.13367576243980739</v>
      </c>
      <c r="D72" s="10">
        <f>D19/D8</f>
        <v>0.12395831458449576</v>
      </c>
      <c r="E72" s="10">
        <f>E19/E8</f>
        <v>0.10930642969811498</v>
      </c>
      <c r="F72" s="10">
        <f>F19/F8</f>
        <v>3.4857504145442399E-2</v>
      </c>
      <c r="G72" s="10">
        <f>G19/G8</f>
        <v>0.14905977005585197</v>
      </c>
      <c r="H72" s="10">
        <f>H19/H8</f>
        <v>2.9835374831615552E-2</v>
      </c>
      <c r="J72" t="s">
        <v>78</v>
      </c>
      <c r="K72" s="10">
        <f>K19/K8</f>
        <v>5.7082333003813018E-2</v>
      </c>
      <c r="L72" s="10">
        <f>L19/L8</f>
        <v>4.5339966832504144E-2</v>
      </c>
      <c r="M72" s="10">
        <f>M19/M8</f>
        <v>6.465759276292446E-2</v>
      </c>
      <c r="N72" s="10">
        <f>N19/N8</f>
        <v>-3.6632768923477294E-4</v>
      </c>
      <c r="O72" s="10">
        <f>O19/O8</f>
        <v>5.5333497820544454E-2</v>
      </c>
      <c r="P72" s="10">
        <f>P19/P8</f>
        <v>0.27876683578767975</v>
      </c>
      <c r="Q72" s="10">
        <f>Q19/Q8</f>
        <v>5.5028629207670508E-2</v>
      </c>
    </row>
    <row r="73" spans="1:17">
      <c r="A73" t="s">
        <v>79</v>
      </c>
      <c r="B73" s="10">
        <f>B19/B12</f>
        <v>2.1851866191568717E-2</v>
      </c>
      <c r="C73" s="10">
        <f>C19/C12</f>
        <v>-5.8465628276171931E-2</v>
      </c>
      <c r="D73" s="10">
        <f>D19/D12</f>
        <v>8.6571216673161283E-2</v>
      </c>
      <c r="E73" s="10">
        <f>E19/E12</f>
        <v>6.3797786812024873E-2</v>
      </c>
      <c r="F73" s="10">
        <f>F19/F12</f>
        <v>3.3905778602924111E-2</v>
      </c>
      <c r="G73" s="10">
        <f>G19/G12</f>
        <v>0.14624735196207</v>
      </c>
      <c r="H73" s="10">
        <f>H19/H12</f>
        <v>2.5829220004339334E-2</v>
      </c>
      <c r="J73" t="s">
        <v>79</v>
      </c>
      <c r="K73" s="10">
        <f>K19/K12</f>
        <v>9.2703445302215071E-3</v>
      </c>
      <c r="L73" s="10">
        <f>L19/L12</f>
        <v>8.2073019170384072E-3</v>
      </c>
      <c r="M73" s="10">
        <f>M19/M12</f>
        <v>1.4827923328362778E-2</v>
      </c>
      <c r="N73" s="10">
        <f>N19/N12</f>
        <v>-6.5628060539361694E-5</v>
      </c>
      <c r="O73" s="10">
        <f>O19/O12</f>
        <v>9.0739929220697308E-3</v>
      </c>
      <c r="P73" s="10">
        <f>P19/P12</f>
        <v>3.472296812324057E-2</v>
      </c>
      <c r="Q73" s="10">
        <f>Q19/Q12</f>
        <v>1.3280589500577932E-2</v>
      </c>
    </row>
    <row r="74" spans="1:17">
      <c r="A74" t="s">
        <v>80</v>
      </c>
      <c r="B74" s="10">
        <f>B5/B12</f>
        <v>0.12498628868653236</v>
      </c>
      <c r="C74" s="10">
        <f>C5/C12</f>
        <v>9.2004268384004786E-2</v>
      </c>
      <c r="D74" s="10">
        <f>D5/D12</f>
        <v>0.14056038112956143</v>
      </c>
      <c r="E74" s="10">
        <f>E5/E12</f>
        <v>0.13050334530472354</v>
      </c>
      <c r="F74" s="10">
        <f>F5/F12</f>
        <v>0.14248085402645624</v>
      </c>
      <c r="G74" s="10">
        <f>G5/G12</f>
        <v>0.16132855845858973</v>
      </c>
      <c r="H74" s="10">
        <f>H5/H12</f>
        <v>7.1741429811238877E-2</v>
      </c>
      <c r="J74" t="s">
        <v>80</v>
      </c>
      <c r="K74" s="10">
        <f>K5/K12</f>
        <v>8.4905530556358289E-3</v>
      </c>
      <c r="L74" s="10">
        <f>L5/L12</f>
        <v>1.9189896673250922E-2</v>
      </c>
      <c r="M74" s="10">
        <f>M5/M12</f>
        <v>9.2244156305857028E-2</v>
      </c>
      <c r="N74" s="10">
        <f>N5/N12</f>
        <v>5.6570794265829873E-2</v>
      </c>
      <c r="O74" s="10">
        <f>O5/O12</f>
        <v>3.4587698942294284E-2</v>
      </c>
      <c r="P74" s="10">
        <f>P5/P12</f>
        <v>1.923614317031087E-2</v>
      </c>
      <c r="Q74" s="10">
        <f>Q5/Q12</f>
        <v>4.4576029732675763E-2</v>
      </c>
    </row>
    <row r="75" spans="1:17">
      <c r="A75" t="s">
        <v>90</v>
      </c>
      <c r="B75" s="10">
        <f>B12/B8</f>
        <v>2.2819640902148897</v>
      </c>
      <c r="C75" s="10">
        <f>C12/C8</f>
        <v>2.286399143927234</v>
      </c>
      <c r="D75" s="10">
        <f>D12/D8</f>
        <v>1.4318652243560899</v>
      </c>
      <c r="E75" s="10">
        <f>E12/E8</f>
        <v>1.7133263575455639</v>
      </c>
      <c r="F75" s="10">
        <f>F12/F8</f>
        <v>1.0280697150082909</v>
      </c>
      <c r="G75" s="10">
        <f>G12/G8</f>
        <v>1.0192305573813834</v>
      </c>
      <c r="H75" s="10">
        <f>H12/H8</f>
        <v>1.1551016572162527</v>
      </c>
      <c r="J75" t="s">
        <v>90</v>
      </c>
      <c r="K75" s="10">
        <f>K12/K8</f>
        <v>6.1575201242762319</v>
      </c>
      <c r="L75" s="10">
        <f>L12/L8</f>
        <v>5.5243449419568824</v>
      </c>
      <c r="M75" s="10">
        <f>M12/M8</f>
        <v>4.3605292077042055</v>
      </c>
      <c r="N75" s="10">
        <f>N12/N8</f>
        <v>5.5818758961353261</v>
      </c>
      <c r="O75" s="10">
        <f>O12/O8</f>
        <v>6.0980318472546449</v>
      </c>
      <c r="P75" s="10">
        <f>P12/P8</f>
        <v>8.0283124068848615</v>
      </c>
      <c r="Q75" s="10">
        <f>Q12/Q8</f>
        <v>4.143538146802582</v>
      </c>
    </row>
    <row r="76" spans="1:17">
      <c r="A76" t="s">
        <v>91</v>
      </c>
      <c r="B76" s="9">
        <f>1.5*B70+0.08*B71+10*B72+5*B73+0.3*B74+0.1*B75</f>
        <v>1.3198973166851917</v>
      </c>
      <c r="C76" s="9">
        <f t="shared" ref="C76:H76" si="11">1.5*C70+0.08*C71+10*C72+5*C73+0.3*C74+0.1*C75</f>
        <v>-1.4494420119279963</v>
      </c>
      <c r="D76" s="9">
        <f t="shared" si="11"/>
        <v>2.4751470422498474</v>
      </c>
      <c r="E76" s="9">
        <f t="shared" si="11"/>
        <v>2.2354831448279735</v>
      </c>
      <c r="F76" s="9">
        <f t="shared" si="11"/>
        <v>1.0918823383986174</v>
      </c>
      <c r="G76" s="9">
        <f t="shared" si="11"/>
        <v>2.9827151522575512</v>
      </c>
      <c r="H76" s="9">
        <f t="shared" si="11"/>
        <v>0.96502324619389801</v>
      </c>
      <c r="J76" t="s">
        <v>91</v>
      </c>
      <c r="K76" s="9">
        <f>1.5*K70+0.08*K71+10*K72+5*K73+0.3*K74+0.1*K75</f>
        <v>1.5357373356682411</v>
      </c>
      <c r="L76" s="9">
        <f t="shared" ref="L76" si="12">1.5*L70+0.08*L71+10*L72+5*L73+0.3*L74+0.1*L75</f>
        <v>1.2959120422603183</v>
      </c>
      <c r="M76" s="9">
        <f t="shared" ref="M76" si="13">1.5*M70+0.08*M71+10*M72+5*M73+0.3*M74+0.1*M75</f>
        <v>1.3835195543171617</v>
      </c>
      <c r="N76" s="9">
        <f t="shared" ref="N76" si="14">1.5*N70+0.08*N71+10*N72+5*N73+0.3*N74+0.1*N75</f>
        <v>0.69762409785071</v>
      </c>
      <c r="O76" s="9">
        <f t="shared" ref="O76" si="15">1.5*O70+0.08*O71+10*O72+5*O73+0.3*O74+0.1*O75</f>
        <v>1.4646005534133546</v>
      </c>
      <c r="P76" s="9">
        <f t="shared" ref="P76" si="16">1.5*P70+0.08*P71+10*P72+5*P73+0.3*P74+0.1*P75</f>
        <v>4.517475369528821</v>
      </c>
      <c r="Q76" s="9">
        <f t="shared" ref="Q76" si="17">1.5*Q70+0.08*Q71+10*Q72+5*Q73+0.3*Q74+0.1*Q75</f>
        <v>1.3538202289897852</v>
      </c>
    </row>
    <row r="77" spans="1:17">
      <c r="B77" t="s">
        <v>83</v>
      </c>
      <c r="C77" t="s">
        <v>92</v>
      </c>
      <c r="D77" t="s">
        <v>83</v>
      </c>
      <c r="E77" t="s">
        <v>83</v>
      </c>
      <c r="F77" t="s">
        <v>83</v>
      </c>
      <c r="G77" t="s">
        <v>83</v>
      </c>
      <c r="H77" t="s">
        <v>85</v>
      </c>
      <c r="K77" t="s">
        <v>83</v>
      </c>
      <c r="L77" t="s">
        <v>83</v>
      </c>
      <c r="M77" t="s">
        <v>83</v>
      </c>
      <c r="N77" t="s">
        <v>85</v>
      </c>
      <c r="O77" t="s">
        <v>83</v>
      </c>
      <c r="P77" t="s">
        <v>83</v>
      </c>
      <c r="Q77" t="s">
        <v>83</v>
      </c>
    </row>
    <row r="79" spans="1:17">
      <c r="A79" t="s">
        <v>93</v>
      </c>
      <c r="J79" t="s">
        <v>93</v>
      </c>
    </row>
    <row r="80" spans="1:17">
      <c r="A80" t="s">
        <v>76</v>
      </c>
      <c r="B80" s="10">
        <f>B19/B11</f>
        <v>0.17349063668975981</v>
      </c>
      <c r="C80" s="10">
        <f>C19/C11</f>
        <v>-0.44506199230440358</v>
      </c>
      <c r="D80" s="10">
        <f>D19/D11</f>
        <v>0.41435533361410265</v>
      </c>
      <c r="E80" s="10">
        <f>E19/E11</f>
        <v>0.41419102852408568</v>
      </c>
      <c r="F80" s="10">
        <f>F19/F11</f>
        <v>0.12746466585238178</v>
      </c>
      <c r="G80" s="10">
        <f>G19/G11</f>
        <v>0.43259055596406537</v>
      </c>
      <c r="H80" s="10">
        <f>H19/H11</f>
        <v>0.12640607890632777</v>
      </c>
      <c r="J80" t="s">
        <v>76</v>
      </c>
      <c r="K80" s="10">
        <f>K19/K11</f>
        <v>0.10708986858838491</v>
      </c>
      <c r="L80" s="10">
        <f>L19/L11</f>
        <v>9.5100613945075393E-2</v>
      </c>
      <c r="M80" s="10">
        <f>M19/M11</f>
        <v>8.3907986883369728E-2</v>
      </c>
      <c r="N80" s="10">
        <f>N19/N11</f>
        <v>-5.5757251596398236E-4</v>
      </c>
      <c r="O80" s="10">
        <f>O19/O11</f>
        <v>9.2698891818790749E-2</v>
      </c>
      <c r="P80" s="10">
        <f>P19/P11</f>
        <v>0.53675643363330172</v>
      </c>
      <c r="Q80" s="10">
        <f>Q19/Q11</f>
        <v>0.1364421151902212</v>
      </c>
    </row>
    <row r="81" spans="1:17">
      <c r="A81" t="s">
        <v>77</v>
      </c>
      <c r="B81" s="10">
        <f>B4/(B10+B11)</f>
        <v>1.0615112341759336</v>
      </c>
      <c r="C81" s="10">
        <f>C4/(C10+C11)</f>
        <v>0.82592353544174035</v>
      </c>
      <c r="D81" s="10">
        <f>D4/(D10+D11)</f>
        <v>0.96060594526700416</v>
      </c>
      <c r="E81" s="10">
        <f>E4/(E10+E11)</f>
        <v>1.0626739475074864</v>
      </c>
      <c r="F81" s="10">
        <f>F4/(F10+F11)</f>
        <v>0.59387666473653733</v>
      </c>
      <c r="G81" s="10">
        <f>G4/(G10+G11)</f>
        <v>0.8806364872052479</v>
      </c>
      <c r="H81" s="10">
        <f>H4/(H10+H11)</f>
        <v>0.63128111226639916</v>
      </c>
      <c r="J81" t="s">
        <v>77</v>
      </c>
      <c r="K81" s="10">
        <f>K4/(K10+K11)</f>
        <v>1.1968225055656749</v>
      </c>
      <c r="L81" s="10">
        <f>L4/(L10+L11)</f>
        <v>0.90282617643023733</v>
      </c>
      <c r="M81" s="10">
        <f>M4/(M10+M11)</f>
        <v>1.0289737251519666</v>
      </c>
      <c r="N81" s="10">
        <f>N4/(N10+N11)</f>
        <v>1.2840820407765097</v>
      </c>
      <c r="O81" s="10">
        <f>O4/(O10+O11)</f>
        <v>1.2233732605719472</v>
      </c>
      <c r="P81" s="10">
        <f>P4/(P10+P11)</f>
        <v>1.4521348791398287</v>
      </c>
      <c r="Q81" s="10">
        <f>Q4/(Q10+Q11)</f>
        <v>0.8436313105413491</v>
      </c>
    </row>
    <row r="82" spans="1:17">
      <c r="A82" t="s">
        <v>78</v>
      </c>
      <c r="B82" s="10">
        <f>B11/B8</f>
        <v>0.28742285407892493</v>
      </c>
      <c r="C82" s="10">
        <f>C11/C8</f>
        <v>0.30035313001605135</v>
      </c>
      <c r="D82" s="10">
        <f>D11/D8</f>
        <v>0.29915945211396894</v>
      </c>
      <c r="E82" s="10">
        <f>E11/E8</f>
        <v>0.26390342178007525</v>
      </c>
      <c r="F82" s="10">
        <f>F11/F8</f>
        <v>0.2734679757118828</v>
      </c>
      <c r="G82" s="10">
        <f>G11/G8</f>
        <v>0.34457472083194102</v>
      </c>
      <c r="H82" s="10">
        <f>H11/H8</f>
        <v>0.23602800664139595</v>
      </c>
      <c r="J82" t="s">
        <v>78</v>
      </c>
      <c r="K82" s="10">
        <f>K11/K8</f>
        <v>0.53303205761898032</v>
      </c>
      <c r="L82" s="10">
        <f>L11/L8</f>
        <v>0.47675787728026536</v>
      </c>
      <c r="M82" s="10">
        <f>M11/M8</f>
        <v>0.77057733315419785</v>
      </c>
      <c r="N82" s="10">
        <f>N11/N8</f>
        <v>0.65700456666418028</v>
      </c>
      <c r="O82" s="10">
        <f>O11/O8</f>
        <v>0.59691649743463215</v>
      </c>
      <c r="P82" s="10">
        <f>P11/P8</f>
        <v>0.51935443773017942</v>
      </c>
      <c r="Q82" s="10">
        <f>Q11/Q8</f>
        <v>0.40331117068181016</v>
      </c>
    </row>
    <row r="83" spans="1:17">
      <c r="A83" t="s">
        <v>79</v>
      </c>
      <c r="B83" s="9">
        <f>(B4-B11)/((B12-B19-B21)/365)</f>
        <v>33.874273918901807</v>
      </c>
      <c r="C83" s="9">
        <f>(C4-C11)/((C12-C19-C21)/365)</f>
        <v>25.365704357845651</v>
      </c>
      <c r="D83" s="9">
        <f>(D4-D11)/((D12-D19-D21)/365)</f>
        <v>44.577427858722153</v>
      </c>
      <c r="E83" s="9">
        <f>(E4-E11)/((E12-E19-E21)/365)</f>
        <v>48.404442489553553</v>
      </c>
      <c r="F83" s="9">
        <f>(F4-F11)/((F12-F19-F21)/365)</f>
        <v>7.8405381029204406</v>
      </c>
      <c r="G83" s="9">
        <f>(G4-G11)/((G12-G19-G21)/365)</f>
        <v>40.261471579176174</v>
      </c>
      <c r="H83" s="9">
        <f>(H4-H11)/((H12-H19-H21)/365)</f>
        <v>11.127210135251314</v>
      </c>
      <c r="J83" t="s">
        <v>79</v>
      </c>
      <c r="K83" s="9">
        <f>(K4-K11)/((K12-K19-K21)/365)</f>
        <v>8.1009844100269657</v>
      </c>
      <c r="L83" s="9">
        <f>(L4-L11)/((L12-L19-L21)/365)</f>
        <v>4.6011474236062231</v>
      </c>
      <c r="M83" s="9">
        <f>(M4-M11)/((M12-M19-M21)/365)</f>
        <v>7.5213988391862578</v>
      </c>
      <c r="N83" s="9">
        <f>(N4-N11)/((N12-N19-N21)/365)</f>
        <v>14.130797257707123</v>
      </c>
      <c r="O83" s="9">
        <f>(O4-O11)/((O12-O19-O21)/365)</f>
        <v>13.00497867406405</v>
      </c>
      <c r="P83" s="9">
        <f>(P4-P11)/((P12-P19-P21)/365)</f>
        <v>15.047102277157702</v>
      </c>
      <c r="Q83" s="9">
        <f>(Q4-Q11)/((Q12-Q19-Q21)/365)</f>
        <v>13.207370916391067</v>
      </c>
    </row>
    <row r="84" spans="1:17">
      <c r="A84" t="s">
        <v>94</v>
      </c>
      <c r="B84" s="9">
        <f>3.2+12.18*B80+2.5*B81-10.68*B82+0.029*B83</f>
        <v>5.8795719024063429</v>
      </c>
      <c r="C84" s="9">
        <f t="shared" ref="C84:H84" si="18">3.2+12.18*C80+2.5*C81-10.68*C82+0.029*C83</f>
        <v>-2.6282122298571884</v>
      </c>
      <c r="D84" s="9">
        <f t="shared" si="18"/>
        <v>8.7460852859130362</v>
      </c>
      <c r="E84" s="9">
        <f t="shared" si="18"/>
        <v>9.48677188377793</v>
      </c>
      <c r="F84" s="9">
        <f t="shared" si="18"/>
        <v>3.5439489163051379</v>
      </c>
      <c r="G84" s="9">
        <f t="shared" si="18"/>
        <v>8.1580688469664153</v>
      </c>
      <c r="H84" s="9">
        <f t="shared" si="18"/>
        <v>4.1197388047372492</v>
      </c>
      <c r="J84" t="s">
        <v>94</v>
      </c>
      <c r="K84" s="9">
        <f t="shared" ref="K84:Q84" si="19">3.2+12.18*K80+2.5*K81-10.68*K82+0.029*K83</f>
        <v>2.0385570358407876</v>
      </c>
      <c r="L84" s="9">
        <f t="shared" si="19"/>
        <v>1.6570500648579576</v>
      </c>
      <c r="M84" s="9">
        <f t="shared" si="19"/>
        <v>-1.2172117586310727</v>
      </c>
      <c r="N84" s="9">
        <f t="shared" si="19"/>
        <v>-0.20360178280310559</v>
      </c>
      <c r="O84" s="9">
        <f t="shared" si="19"/>
        <v>1.3895818427287254</v>
      </c>
      <c r="P84" s="9">
        <f t="shared" si="19"/>
        <v>8.2576911305824456</v>
      </c>
      <c r="Q84" s="9">
        <f t="shared" si="19"/>
        <v>3.0465936930638762</v>
      </c>
    </row>
    <row r="85" spans="1:17">
      <c r="B85" t="s">
        <v>83</v>
      </c>
      <c r="C85" t="s">
        <v>92</v>
      </c>
      <c r="D85" t="s">
        <v>83</v>
      </c>
      <c r="E85" t="s">
        <v>83</v>
      </c>
      <c r="F85" t="s">
        <v>83</v>
      </c>
      <c r="G85" t="s">
        <v>83</v>
      </c>
      <c r="H85" t="s">
        <v>83</v>
      </c>
      <c r="K85" t="s">
        <v>83</v>
      </c>
      <c r="L85" t="s">
        <v>83</v>
      </c>
      <c r="M85" t="s">
        <v>92</v>
      </c>
      <c r="N85" t="s">
        <v>92</v>
      </c>
      <c r="O85" t="s">
        <v>83</v>
      </c>
      <c r="P85" t="s">
        <v>83</v>
      </c>
      <c r="Q85" t="s">
        <v>83</v>
      </c>
    </row>
    <row r="88" spans="1:17">
      <c r="A88" t="s">
        <v>95</v>
      </c>
      <c r="J88" t="s">
        <v>95</v>
      </c>
    </row>
    <row r="89" spans="1:17">
      <c r="A89" t="s">
        <v>76</v>
      </c>
      <c r="B89" s="16">
        <f t="shared" ref="B89:H89" si="20">B42</f>
        <v>4.1230435878016627E-2</v>
      </c>
      <c r="C89" s="16">
        <f t="shared" si="20"/>
        <v>-0.12472980203317283</v>
      </c>
      <c r="D89" s="16">
        <f t="shared" si="20"/>
        <v>0.10331359455713746</v>
      </c>
      <c r="E89" s="16">
        <f t="shared" si="20"/>
        <v>8.6067685964610896E-2</v>
      </c>
      <c r="F89" s="16">
        <f t="shared" si="20"/>
        <v>3.3700359072852425E-2</v>
      </c>
      <c r="G89" s="16">
        <f t="shared" si="20"/>
        <v>0.12349124398241819</v>
      </c>
      <c r="H89" s="16">
        <f t="shared" si="20"/>
        <v>5.4157137934275242E-3</v>
      </c>
      <c r="J89" t="s">
        <v>76</v>
      </c>
      <c r="K89" s="10">
        <f t="shared" ref="K89:Q89" si="21">K42</f>
        <v>4.3524925857929671E-2</v>
      </c>
      <c r="L89" s="10">
        <f t="shared" si="21"/>
        <v>3.1824212271973469E-2</v>
      </c>
      <c r="M89" s="10">
        <f t="shared" si="21"/>
        <v>5.1058794348962912E-2</v>
      </c>
      <c r="N89" s="10">
        <f t="shared" si="21"/>
        <v>-5.2048368515709821E-3</v>
      </c>
      <c r="O89" s="10">
        <f t="shared" si="21"/>
        <v>4.3949717524847061E-2</v>
      </c>
      <c r="P89" s="10">
        <f t="shared" si="21"/>
        <v>0.22452540928626288</v>
      </c>
      <c r="Q89" s="10">
        <f t="shared" si="21"/>
        <v>4.0957109096680891E-2</v>
      </c>
    </row>
    <row r="90" spans="1:17">
      <c r="A90" t="s">
        <v>77</v>
      </c>
      <c r="B90" s="10">
        <f t="shared" ref="B90:H90" si="22">B28</f>
        <v>0.71454283712038558</v>
      </c>
      <c r="C90" s="10">
        <f t="shared" si="22"/>
        <v>0.84972210346301835</v>
      </c>
      <c r="D90" s="10">
        <f t="shared" si="22"/>
        <v>0.8456771554058119</v>
      </c>
      <c r="E90" s="10">
        <f t="shared" si="22"/>
        <v>0.93780329033021659</v>
      </c>
      <c r="F90" s="10">
        <f t="shared" si="22"/>
        <v>0.53812598150410051</v>
      </c>
      <c r="G90" s="10">
        <f t="shared" si="22"/>
        <v>0.79319458209448301</v>
      </c>
      <c r="H90" s="10">
        <f t="shared" si="22"/>
        <v>0.7871553240203073</v>
      </c>
      <c r="J90" t="s">
        <v>77</v>
      </c>
      <c r="K90" s="10">
        <f t="shared" ref="K90:Q90" si="23">K28</f>
        <v>1.1553094531581178</v>
      </c>
      <c r="L90" s="10">
        <f t="shared" si="23"/>
        <v>0.92216985234012205</v>
      </c>
      <c r="M90" s="10">
        <f t="shared" si="23"/>
        <v>0.59271834785893585</v>
      </c>
      <c r="N90" s="10">
        <f t="shared" si="23"/>
        <v>0.84777513428415008</v>
      </c>
      <c r="O90" s="10">
        <f t="shared" si="23"/>
        <v>1.0066643491237144</v>
      </c>
      <c r="P90" s="10">
        <f t="shared" si="23"/>
        <v>1.316994828118478</v>
      </c>
      <c r="Q90" s="10">
        <f t="shared" si="23"/>
        <v>0.90524978627853536</v>
      </c>
    </row>
    <row r="91" spans="1:17">
      <c r="A91" t="s">
        <v>78</v>
      </c>
      <c r="B91" s="10">
        <f>(B9+B10)/B8</f>
        <v>0.6778513447834138</v>
      </c>
      <c r="C91" s="10">
        <f>(C9+C10)/C8</f>
        <v>0.6650829320492242</v>
      </c>
      <c r="D91" s="10">
        <f>(D9+D10)/D8</f>
        <v>0.65544736226353961</v>
      </c>
      <c r="E91" s="10">
        <f>(E9+E10)/E8</f>
        <v>0.73590916899626746</v>
      </c>
      <c r="F91" s="10">
        <f>(F9+F10)/F8</f>
        <v>0.71719135839288062</v>
      </c>
      <c r="G91" s="10">
        <f>(G9+G10)/G8</f>
        <v>0.65171283053094253</v>
      </c>
      <c r="H91" s="10">
        <f>(H9+H10)/H8</f>
        <v>0.76009915102910308</v>
      </c>
      <c r="J91" t="s">
        <v>78</v>
      </c>
      <c r="K91" s="10">
        <f>(K9+K10)/K8</f>
        <v>0.42457280045191359</v>
      </c>
      <c r="L91" s="10">
        <f>(L9+L10)/L8</f>
        <v>0.47128524046434495</v>
      </c>
      <c r="M91" s="10">
        <f>(M9+M10)/M8</f>
        <v>0.21162624059969065</v>
      </c>
      <c r="N91" s="10">
        <f>(N9+N10)/N8</f>
        <v>0.33343278881457356</v>
      </c>
      <c r="O91" s="10">
        <f>(O9+O10)/O8</f>
        <v>0.40320876590306642</v>
      </c>
      <c r="P91" s="10">
        <f>(P9+P10)/P8</f>
        <v>0.4808137024651154</v>
      </c>
      <c r="Q91" s="10">
        <f>(Q9+Q10)/Q8</f>
        <v>0.59632875971453092</v>
      </c>
    </row>
    <row r="92" spans="1:17">
      <c r="A92" t="s">
        <v>79</v>
      </c>
      <c r="B92" s="10">
        <f>B13/B12</f>
        <v>2.1750493644753129E-2</v>
      </c>
      <c r="C92" s="10">
        <f>C13/C12</f>
        <v>3.6505915830462783E-3</v>
      </c>
      <c r="D92" s="10">
        <f>D13/D12</f>
        <v>7.264339496939147E-2</v>
      </c>
      <c r="E92" s="10">
        <f>E13/E12</f>
        <v>5.5229431389349715E-2</v>
      </c>
      <c r="F92" s="10">
        <f>F13/F12</f>
        <v>-8.1225342306799722E-5</v>
      </c>
      <c r="G92" s="10">
        <f>G13/G12</f>
        <v>0.13591459987606461</v>
      </c>
      <c r="H92" s="10">
        <f>H13/H12</f>
        <v>7.3229686482968112E-2</v>
      </c>
      <c r="J92" t="s">
        <v>79</v>
      </c>
      <c r="K92" s="10">
        <f>K13/K12</f>
        <v>1.4004137481823978E-2</v>
      </c>
      <c r="L92" s="10">
        <f>L13/L12</f>
        <v>-2.1674001404907569E-3</v>
      </c>
      <c r="M92" s="10">
        <f>M13/M12</f>
        <v>2.0048783859850094E-2</v>
      </c>
      <c r="N92" s="10">
        <f>N13/N12</f>
        <v>1.483312952009555E-3</v>
      </c>
      <c r="O92" s="10">
        <f>O13/O12</f>
        <v>1.1607872039519551E-2</v>
      </c>
      <c r="P92" s="10">
        <f>P13/P12</f>
        <v>3.5447909115198004E-2</v>
      </c>
      <c r="Q92" s="10">
        <f>Q13/Q12</f>
        <v>1.698554013694158E-2</v>
      </c>
    </row>
    <row r="93" spans="1:17">
      <c r="A93" t="s">
        <v>96</v>
      </c>
      <c r="B93" s="9">
        <f>3.562*B89+1.58*B90+4.288*B91+6.719*B92-2.368</f>
        <v>1.9606086284780795</v>
      </c>
      <c r="C93" s="9">
        <f t="shared" ref="C93:H93" si="24">3.562*C89+1.58*C90+4.288*C91+6.719*C92-2.368</f>
        <v>1.4066773061029689</v>
      </c>
      <c r="D93" s="9">
        <f t="shared" si="24"/>
        <v>2.6348221895391055</v>
      </c>
      <c r="E93" s="9">
        <f t="shared" si="24"/>
        <v>2.946967362288722</v>
      </c>
      <c r="F93" s="9">
        <f t="shared" si="24"/>
        <v>1.6770505215076921</v>
      </c>
      <c r="G93" s="9">
        <f t="shared" si="24"/>
        <v>3.0328780646586169</v>
      </c>
      <c r="H93" s="9">
        <f t="shared" si="24"/>
        <v>2.6463316075761321</v>
      </c>
      <c r="J93" t="s">
        <v>96</v>
      </c>
      <c r="K93" s="9">
        <f>3.562*K89+1.58*K90+4.288*K91+6.719*K92-2.368</f>
        <v>1.5270866899739528</v>
      </c>
      <c r="L93" s="9">
        <f t="shared" ref="L93" si="25">3.562*L89+1.58*L90+4.288*L91+6.719*L92-2.368</f>
        <v>1.208694560377316</v>
      </c>
      <c r="M93" s="9">
        <f t="shared" ref="M93" si="26">3.562*M89+1.58*M90+4.288*M91+6.719*M92-2.368</f>
        <v>-0.20747248646606886</v>
      </c>
      <c r="N93" s="9">
        <f t="shared" ref="N93" si="27">3.562*N89+1.58*N90+4.288*N91+6.719*N92-2.368</f>
        <v>0.39267126146510511</v>
      </c>
      <c r="O93" s="9">
        <f t="shared" ref="O93" si="28">3.562*O89+1.58*O90+4.288*O91+6.719*O92-2.368</f>
        <v>1.1860310458648549</v>
      </c>
      <c r="P93" s="9">
        <f t="shared" ref="P93" si="29">3.562*P89+1.58*P90+4.288*P91+6.719*P92-2.368</f>
        <v>2.8125149938202934</v>
      </c>
      <c r="Q93" s="9">
        <f t="shared" ref="Q93" si="30">3.562*Q89+1.58*Q90+4.288*Q91+6.719*Q92-2.368</f>
        <v>1.8793674507584819</v>
      </c>
    </row>
    <row r="94" spans="1:17">
      <c r="B94" t="s">
        <v>83</v>
      </c>
      <c r="C94" t="s">
        <v>83</v>
      </c>
      <c r="D94" t="s">
        <v>83</v>
      </c>
      <c r="E94" t="s">
        <v>83</v>
      </c>
      <c r="F94" t="s">
        <v>83</v>
      </c>
      <c r="G94" t="s">
        <v>83</v>
      </c>
      <c r="H94" t="s">
        <v>83</v>
      </c>
      <c r="K94" t="s">
        <v>83</v>
      </c>
      <c r="L94" t="s">
        <v>83</v>
      </c>
      <c r="M94" t="s">
        <v>92</v>
      </c>
      <c r="N94" t="s">
        <v>83</v>
      </c>
      <c r="O94" t="s">
        <v>83</v>
      </c>
      <c r="P94" t="s">
        <v>83</v>
      </c>
      <c r="Q94" t="s">
        <v>83</v>
      </c>
    </row>
    <row r="96" spans="1:17">
      <c r="A96" t="s">
        <v>97</v>
      </c>
      <c r="J96" t="s">
        <v>97</v>
      </c>
    </row>
    <row r="97" spans="1:17">
      <c r="A97" t="s">
        <v>76</v>
      </c>
      <c r="B97" s="9">
        <f>B13/B8</f>
        <v>4.9633845441773808E-2</v>
      </c>
      <c r="C97" s="9">
        <f>C13/C8</f>
        <v>8.3467094703049763E-3</v>
      </c>
      <c r="D97" s="9">
        <f>D13/D8</f>
        <v>0.10401555103583578</v>
      </c>
      <c r="E97" s="9">
        <f>E13/E8</f>
        <v>9.462604051162718E-2</v>
      </c>
      <c r="F97" s="9">
        <f>F13/F8</f>
        <v>-8.3505314516802462E-5</v>
      </c>
      <c r="G97" s="9">
        <f>G13/G8</f>
        <v>0.13852831338794905</v>
      </c>
      <c r="H97" s="9">
        <f>H13/H8</f>
        <v>8.4587732213903075E-2</v>
      </c>
      <c r="J97" t="s">
        <v>76</v>
      </c>
      <c r="K97" s="9">
        <f>K13/K8</f>
        <v>8.6230758367462218E-2</v>
      </c>
      <c r="L97" s="9">
        <f>L13/L8</f>
        <v>-1.197346600331675E-2</v>
      </c>
      <c r="M97" s="9">
        <f>M13/M8</f>
        <v>8.7423307599825001E-2</v>
      </c>
      <c r="N97" s="9">
        <f>N13/N8</f>
        <v>8.2796688132474698E-3</v>
      </c>
      <c r="O97" s="9">
        <f>O13/O8</f>
        <v>7.0785173375846958E-2</v>
      </c>
      <c r="P97" s="9">
        <f>P13/P8</f>
        <v>0.28458688854767106</v>
      </c>
      <c r="Q97" s="9">
        <f>Q13/Q8</f>
        <v>7.0380233501463788E-2</v>
      </c>
    </row>
    <row r="98" spans="1:17">
      <c r="A98" t="s">
        <v>77</v>
      </c>
      <c r="B98" s="9">
        <f>(B20+B21)/(B10+B11)</f>
        <v>0.18212965190230024</v>
      </c>
      <c r="C98" s="9">
        <f>(C20+C21)/(C10+C11)</f>
        <v>-0.14567751243403318</v>
      </c>
      <c r="D98" s="9">
        <f>(D20+D21)/(D10+D11)</f>
        <v>0.29878582575267387</v>
      </c>
      <c r="E98" s="9">
        <f>(E20+E21)/(E10+E11)</f>
        <v>0.28832129645939758</v>
      </c>
      <c r="F98" s="9">
        <f>(F20+F21)/(F10+F11)</f>
        <v>0.17762015055008687</v>
      </c>
      <c r="G98" s="9">
        <f>(G20+G21)/(G10+G11)</f>
        <v>0.29974587790319723</v>
      </c>
      <c r="H98" s="9">
        <f>(H20+H21)/(H10+H11)</f>
        <v>0.14167410447280523</v>
      </c>
      <c r="J98" t="s">
        <v>77</v>
      </c>
      <c r="K98" s="9">
        <f>(K20+K21)/(K10+K11)</f>
        <v>0.10463468933414288</v>
      </c>
      <c r="L98" s="9">
        <f>(L20+L21)/(L10+L11)</f>
        <v>7.3947043490190698E-2</v>
      </c>
      <c r="M98" s="9">
        <f>(M20+M21)/(M10+M11)</f>
        <v>6.8829619970039987E-2</v>
      </c>
      <c r="N98" s="9">
        <f>(N20+N21)/(N10+N11)</f>
        <v>5.8360159984391768E-3</v>
      </c>
      <c r="O98" s="9">
        <f>(O20+O21)/(O10+O11)</f>
        <v>8.3439157676364367E-2</v>
      </c>
      <c r="P98" s="9">
        <f>(P20+P21)/(P10+P11)</f>
        <v>0.40602069927393414</v>
      </c>
      <c r="Q98" s="9">
        <f>(Q20+Q21)/(Q10+Q11)</f>
        <v>0.12443312076630571</v>
      </c>
    </row>
    <row r="99" spans="1:17">
      <c r="A99" t="s">
        <v>78</v>
      </c>
      <c r="B99" s="9">
        <f>B15/B11</f>
        <v>8.6882586827024988E-2</v>
      </c>
      <c r="C99" s="9">
        <f>C15/C11</f>
        <v>0.42211771412284455</v>
      </c>
      <c r="D99" s="9">
        <f>D15/D11</f>
        <v>4.2536550147403887E-2</v>
      </c>
      <c r="E99" s="9">
        <f>E15/E11</f>
        <v>6.4208782104391057E-2</v>
      </c>
      <c r="F99" s="9">
        <f>F15/F11</f>
        <v>0.27159309021113243</v>
      </c>
      <c r="G99" s="9">
        <f>G15/G11</f>
        <v>0.16986902820848918</v>
      </c>
      <c r="H99" s="9">
        <f>H15/H11</f>
        <v>0.36284301688953779</v>
      </c>
      <c r="J99" t="s">
        <v>78</v>
      </c>
      <c r="K99" s="9">
        <f>K15/K11</f>
        <v>3.6562102585841458E-2</v>
      </c>
      <c r="L99" s="9">
        <f>L15/L11</f>
        <v>0.10085743604014122</v>
      </c>
      <c r="M99" s="9">
        <f>M15/M11</f>
        <v>2.4514329270337146E-2</v>
      </c>
      <c r="N99" s="9">
        <f>N15/N11</f>
        <v>1.8011358332429277E-2</v>
      </c>
      <c r="O99" s="9">
        <f>O15/O11</f>
        <v>2.068619055290357E-2</v>
      </c>
      <c r="P99" s="9">
        <f>P15/P11</f>
        <v>1.2577627363219169E-2</v>
      </c>
      <c r="Q99" s="9">
        <f>Q15/Q11</f>
        <v>1.5495808289842018E-2</v>
      </c>
    </row>
    <row r="100" spans="1:17">
      <c r="A100" t="s">
        <v>82</v>
      </c>
      <c r="B100" s="9">
        <f>2-10.19*B97-4.58*B98-0.57*B99</f>
        <v>0.61055423474438564</v>
      </c>
      <c r="C100" s="9">
        <f t="shared" ref="C100:H100" si="31">2-10.19*C97-4.58*C98-0.57*C99</f>
        <v>2.3415429403954429</v>
      </c>
      <c r="D100" s="9">
        <f t="shared" si="31"/>
        <v>-0.45260338058643301</v>
      </c>
      <c r="E100" s="9">
        <f t="shared" si="31"/>
        <v>-0.32134989639702471</v>
      </c>
      <c r="F100" s="9">
        <f t="shared" si="31"/>
        <v>1.0325425682151828</v>
      </c>
      <c r="G100" s="9">
        <f t="shared" si="31"/>
        <v>-0.88126498029868294</v>
      </c>
      <c r="H100" s="9">
        <f t="shared" si="31"/>
        <v>0.28236309062784326</v>
      </c>
      <c r="J100" t="s">
        <v>82</v>
      </c>
      <c r="K100" s="9">
        <f>2-10.19*K97-4.58*K98-0.57*K99</f>
        <v>0.62124129661125593</v>
      </c>
      <c r="L100" s="9">
        <f t="shared" ref="L100" si="32">2-10.19*L97-4.58*L98-0.57*L99</f>
        <v>1.725843420845844</v>
      </c>
      <c r="M100" s="9">
        <f t="shared" ref="M100" si="33">2-10.19*M97-4.58*M98-0.57*M99</f>
        <v>0.77994366841090801</v>
      </c>
      <c r="N100" s="9">
        <f t="shared" ref="N100" si="34">2-10.19*N97-4.58*N98-0.57*N99</f>
        <v>1.8786347472706721</v>
      </c>
      <c r="O100" s="9">
        <f t="shared" ref="O100" si="35">2-10.19*O97-4.58*O98-0.57*O99</f>
        <v>0.8847566125272156</v>
      </c>
      <c r="P100" s="9">
        <f t="shared" ref="P100" si="36">2-10.19*P97-4.58*P98-0.57*P99</f>
        <v>-2.7666844445724217</v>
      </c>
      <c r="Q100" s="9">
        <f t="shared" ref="Q100" si="37">2-10.19*Q97-4.58*Q98-0.57*Q99</f>
        <v>0.70408911678519392</v>
      </c>
    </row>
    <row r="101" spans="1:17">
      <c r="A101" t="s">
        <v>98</v>
      </c>
      <c r="B101" s="10">
        <f>1/(1+EXP(-B100))</f>
        <v>0.64806722014983764</v>
      </c>
      <c r="C101" s="10">
        <f t="shared" ref="C101:H101" si="38">1/(1+EXP(-C100))</f>
        <v>0.91225966374183964</v>
      </c>
      <c r="D101" s="10">
        <f t="shared" si="38"/>
        <v>0.38874196757605006</v>
      </c>
      <c r="E101" s="10">
        <f t="shared" si="38"/>
        <v>0.42034680302821642</v>
      </c>
      <c r="F101" s="10">
        <f t="shared" si="38"/>
        <v>0.73740852870055817</v>
      </c>
      <c r="G101" s="10">
        <f t="shared" si="38"/>
        <v>0.29291571250775783</v>
      </c>
      <c r="H101" s="10">
        <f t="shared" si="38"/>
        <v>0.57012547162402527</v>
      </c>
      <c r="J101" t="s">
        <v>98</v>
      </c>
      <c r="K101" s="10">
        <f>1/(1+EXP(-K100))</f>
        <v>0.65050080944028388</v>
      </c>
      <c r="L101" s="10">
        <f t="shared" ref="L101" si="39">1/(1+EXP(-L100))</f>
        <v>0.84887997568705242</v>
      </c>
      <c r="M101" s="10">
        <f t="shared" ref="M101" si="40">1/(1+EXP(-M100))</f>
        <v>0.68566797306409044</v>
      </c>
      <c r="N101" s="10">
        <f t="shared" ref="N101" si="41">1/(1+EXP(-N100))</f>
        <v>0.8674542319992774</v>
      </c>
      <c r="O101" s="10">
        <f t="shared" ref="O101" si="42">1/(1+EXP(-O100))</f>
        <v>0.7078069374795749</v>
      </c>
      <c r="P101" s="10">
        <f t="shared" ref="P101" si="43">1/(1+EXP(-P100))</f>
        <v>5.9151262572817255E-2</v>
      </c>
      <c r="Q101" s="10">
        <f t="shared" ref="Q101" si="44">1/(1+EXP(-Q100))</f>
        <v>0.66909375765548329</v>
      </c>
    </row>
    <row r="102" spans="1:17">
      <c r="B102" t="s">
        <v>92</v>
      </c>
      <c r="C102" t="s">
        <v>92</v>
      </c>
      <c r="D102" t="s">
        <v>83</v>
      </c>
      <c r="E102" t="s">
        <v>83</v>
      </c>
      <c r="F102" t="s">
        <v>92</v>
      </c>
      <c r="G102" t="s">
        <v>83</v>
      </c>
      <c r="H102" t="s">
        <v>92</v>
      </c>
      <c r="K102" t="s">
        <v>92</v>
      </c>
      <c r="L102" t="s">
        <v>92</v>
      </c>
      <c r="M102" t="s">
        <v>92</v>
      </c>
      <c r="N102" t="s">
        <v>92</v>
      </c>
      <c r="O102" t="s">
        <v>92</v>
      </c>
      <c r="P102" t="s">
        <v>83</v>
      </c>
      <c r="Q102" t="s">
        <v>92</v>
      </c>
    </row>
    <row r="104" spans="1:17">
      <c r="A104" t="s">
        <v>99</v>
      </c>
      <c r="J104" t="s">
        <v>99</v>
      </c>
    </row>
    <row r="105" spans="1:17">
      <c r="A105" t="s">
        <v>76</v>
      </c>
      <c r="B105" s="9">
        <f t="shared" ref="B105:H106" si="45">B27</f>
        <v>1.706858578559582</v>
      </c>
      <c r="C105" s="9">
        <f t="shared" si="45"/>
        <v>1.5500926321789938</v>
      </c>
      <c r="D105" s="9">
        <f t="shared" si="45"/>
        <v>1.5184405270441008</v>
      </c>
      <c r="E105" s="9">
        <f t="shared" si="45"/>
        <v>1.7850633211030891</v>
      </c>
      <c r="F105" s="9">
        <f t="shared" si="45"/>
        <v>1.0737654859535857</v>
      </c>
      <c r="G105" s="9">
        <f t="shared" si="45"/>
        <v>1.2703944073233373</v>
      </c>
      <c r="H105" s="9">
        <f t="shared" si="45"/>
        <v>1.1382519826127351</v>
      </c>
      <c r="J105" t="s">
        <v>76</v>
      </c>
      <c r="K105" s="9">
        <f t="shared" ref="K105:Q106" si="46">K27</f>
        <v>1.2533912674862229</v>
      </c>
      <c r="L105" s="9">
        <f t="shared" si="46"/>
        <v>1.1445292797885107</v>
      </c>
      <c r="M105" s="9">
        <f t="shared" si="46"/>
        <v>1.1147079269778326</v>
      </c>
      <c r="N105" s="9">
        <f t="shared" si="46"/>
        <v>1.3283975971399811</v>
      </c>
      <c r="O105" s="9">
        <f t="shared" si="46"/>
        <v>1.3600083940275223</v>
      </c>
      <c r="P105" s="9">
        <f t="shared" si="46"/>
        <v>1.6143520001294993</v>
      </c>
      <c r="Q105" s="9">
        <f t="shared" si="46"/>
        <v>1.3632149830225353</v>
      </c>
    </row>
    <row r="106" spans="1:17">
      <c r="A106" t="s">
        <v>77</v>
      </c>
      <c r="B106" s="9">
        <f t="shared" si="45"/>
        <v>0.71454283712038558</v>
      </c>
      <c r="C106" s="9">
        <f t="shared" si="45"/>
        <v>0.84972210346301835</v>
      </c>
      <c r="D106" s="9">
        <f t="shared" si="45"/>
        <v>0.8456771554058119</v>
      </c>
      <c r="E106" s="9">
        <f t="shared" si="45"/>
        <v>0.93780329033021659</v>
      </c>
      <c r="F106" s="9">
        <f t="shared" si="45"/>
        <v>0.53812598150410051</v>
      </c>
      <c r="G106" s="9">
        <f t="shared" si="45"/>
        <v>0.79319458209448301</v>
      </c>
      <c r="H106" s="9">
        <f t="shared" si="45"/>
        <v>0.7871553240203073</v>
      </c>
      <c r="J106" t="s">
        <v>77</v>
      </c>
      <c r="K106" s="9">
        <f t="shared" si="46"/>
        <v>1.1553094531581178</v>
      </c>
      <c r="L106" s="9">
        <f t="shared" si="46"/>
        <v>0.92216985234012205</v>
      </c>
      <c r="M106" s="9">
        <f t="shared" si="46"/>
        <v>0.59271834785893585</v>
      </c>
      <c r="N106" s="9">
        <f t="shared" si="46"/>
        <v>0.84777513428415008</v>
      </c>
      <c r="O106" s="9">
        <f t="shared" si="46"/>
        <v>1.0066643491237144</v>
      </c>
      <c r="P106" s="9">
        <f t="shared" si="46"/>
        <v>1.316994828118478</v>
      </c>
      <c r="Q106" s="9">
        <f t="shared" si="46"/>
        <v>0.90524978627853536</v>
      </c>
    </row>
    <row r="107" spans="1:17">
      <c r="A107" t="s">
        <v>78</v>
      </c>
      <c r="B107" s="9">
        <f>(B10+B11)/B8</f>
        <v>0.46216200861929085</v>
      </c>
      <c r="C107" s="9">
        <f>(C10+C11)/C8</f>
        <v>0.56370251471375066</v>
      </c>
      <c r="D107" s="9">
        <f>(D10+D11)/D8</f>
        <v>0.47288468114976873</v>
      </c>
      <c r="E107" s="9">
        <f>(E10+E11)/E8</f>
        <v>0.44330090112601711</v>
      </c>
      <c r="F107" s="9">
        <f>(F10+F11)/F8</f>
        <v>0.49444689658463264</v>
      </c>
      <c r="G107" s="9">
        <f>(G10+G11)/G8</f>
        <v>0.49707887943538465</v>
      </c>
      <c r="H107" s="9">
        <f>(H10+H11)/H8</f>
        <v>0.42557798941135927</v>
      </c>
      <c r="J107" t="s">
        <v>78</v>
      </c>
      <c r="K107" s="9">
        <f>(K10+K11)/K8</f>
        <v>0.55822623923174697</v>
      </c>
      <c r="L107" s="9">
        <f>(L10+L11)/L8</f>
        <v>0.6043946932006633</v>
      </c>
      <c r="M107" s="9">
        <f>(M10+M11)/M8</f>
        <v>0.834781919712832</v>
      </c>
      <c r="N107" s="9">
        <f>(N10+N11)/N8</f>
        <v>0.67967875879559414</v>
      </c>
      <c r="O107" s="9">
        <f>(O10+O11)/O8</f>
        <v>0.66358442938753814</v>
      </c>
      <c r="P107" s="9">
        <f>(P10+P11)/P8</f>
        <v>0.57737121211666287</v>
      </c>
      <c r="Q107" s="9">
        <f>(Q10+Q11)/Q8</f>
        <v>0.65170628901978767</v>
      </c>
    </row>
    <row r="108" spans="1:17">
      <c r="A108" t="s">
        <v>79</v>
      </c>
      <c r="B108" s="10">
        <f>(B4-B11)/B8</f>
        <v>0.20316731007976702</v>
      </c>
      <c r="C108" s="10">
        <f>(C4-C11)/C8</f>
        <v>0.16522204387372927</v>
      </c>
      <c r="D108" s="10">
        <f>(D4-D11)/D8</f>
        <v>0.15509638402419049</v>
      </c>
      <c r="E108" s="10">
        <f>(E4-E11)/E8</f>
        <v>0.2071808967531352</v>
      </c>
      <c r="F108" s="10">
        <f>(F4-F11)/F8</f>
        <v>2.0172498121130422E-2</v>
      </c>
      <c r="G108" s="10">
        <f>(G4-G11)/G8</f>
        <v>9.3171077417957091E-2</v>
      </c>
      <c r="H108" s="10">
        <f>(H4-H11)/H8</f>
        <v>3.2631339870304817E-2</v>
      </c>
      <c r="J108" t="s">
        <v>79</v>
      </c>
      <c r="K108" s="16">
        <f>(K4-K11)/K8</f>
        <v>0.13506566869086287</v>
      </c>
      <c r="L108" s="16">
        <f>(L4-L11)/L8</f>
        <v>6.8905472636815915E-2</v>
      </c>
      <c r="M108" s="16">
        <f>(M4-M11)/M8</f>
        <v>8.8391328462224791E-2</v>
      </c>
      <c r="N108" s="16">
        <f>(N4-N11)/N8</f>
        <v>0.21575872100251126</v>
      </c>
      <c r="O108" s="16">
        <f>(O4-O11)/O8</f>
        <v>0.21489494960997552</v>
      </c>
      <c r="P108" s="16">
        <f>(P4-P11)/P8</f>
        <v>0.31906643759566727</v>
      </c>
      <c r="Q108" s="16">
        <f>(Q4-Q11)/Q8</f>
        <v>0.14648866001199251</v>
      </c>
    </row>
    <row r="109" spans="1:17">
      <c r="A109" t="s">
        <v>80</v>
      </c>
      <c r="B109" s="9">
        <f t="shared" ref="B109:H109" si="47">B33</f>
        <v>24.813987454783057</v>
      </c>
      <c r="C109" s="9">
        <f t="shared" si="47"/>
        <v>24.230380410363935</v>
      </c>
      <c r="D109" s="9">
        <f t="shared" si="47"/>
        <v>39.797493494902767</v>
      </c>
      <c r="E109" s="9">
        <f t="shared" si="47"/>
        <v>35.243696789601294</v>
      </c>
      <c r="F109" s="9">
        <f t="shared" si="47"/>
        <v>42.730157809236481</v>
      </c>
      <c r="G109" s="9">
        <f t="shared" si="47"/>
        <v>49.849476156850315</v>
      </c>
      <c r="H109" s="9">
        <f t="shared" si="47"/>
        <v>40.4873616836624</v>
      </c>
      <c r="J109" t="s">
        <v>80</v>
      </c>
      <c r="K109" s="9">
        <f t="shared" ref="K109:Q109" si="48">K33</f>
        <v>35.172815551794208</v>
      </c>
      <c r="L109" s="9">
        <f t="shared" si="48"/>
        <v>24.388264819073122</v>
      </c>
      <c r="M109" s="9">
        <f t="shared" si="48"/>
        <v>30.42335897613146</v>
      </c>
      <c r="N109" s="9">
        <f t="shared" si="48"/>
        <v>26.716784034979458</v>
      </c>
      <c r="O109" s="9">
        <f t="shared" si="48"/>
        <v>25.294687941955662</v>
      </c>
      <c r="P109" s="9">
        <f t="shared" si="48"/>
        <v>20.142897597821406</v>
      </c>
      <c r="Q109" s="9">
        <f t="shared" si="48"/>
        <v>20.347316067304288</v>
      </c>
    </row>
    <row r="110" spans="1:17">
      <c r="A110" t="s">
        <v>90</v>
      </c>
      <c r="B110" s="9">
        <f t="shared" ref="B110:H110" si="49">B32</f>
        <v>45.619995370584313</v>
      </c>
      <c r="C110" s="9">
        <f t="shared" si="49"/>
        <v>33.581557960161746</v>
      </c>
      <c r="D110" s="9">
        <f t="shared" si="49"/>
        <v>51.304539112289923</v>
      </c>
      <c r="E110" s="9">
        <f t="shared" si="49"/>
        <v>47.633721036224088</v>
      </c>
      <c r="F110" s="9">
        <f t="shared" si="49"/>
        <v>52.005511719656532</v>
      </c>
      <c r="G110" s="9">
        <f t="shared" si="49"/>
        <v>58.884923837385251</v>
      </c>
      <c r="H110" s="9">
        <f t="shared" si="49"/>
        <v>26.18562188110219</v>
      </c>
      <c r="J110" t="s">
        <v>90</v>
      </c>
      <c r="K110" s="9">
        <f t="shared" ref="K110:Q110" si="50">K32</f>
        <v>3.0990518653070773</v>
      </c>
      <c r="L110" s="9">
        <f t="shared" si="50"/>
        <v>7.004312285736586</v>
      </c>
      <c r="M110" s="9">
        <f t="shared" si="50"/>
        <v>33.669117051637812</v>
      </c>
      <c r="N110" s="9">
        <f t="shared" si="50"/>
        <v>20.648339907027903</v>
      </c>
      <c r="O110" s="9">
        <f t="shared" si="50"/>
        <v>12.624510113937415</v>
      </c>
      <c r="P110" s="9">
        <f t="shared" si="50"/>
        <v>7.0211922571634675</v>
      </c>
      <c r="Q110" s="9">
        <f t="shared" si="50"/>
        <v>16.270250852426656</v>
      </c>
    </row>
    <row r="111" spans="1:17">
      <c r="A111" t="s">
        <v>100</v>
      </c>
      <c r="B111" s="9">
        <f>2.36261+0.365425*B105-0.765526*B106-2.40435*B107+1.59079*B108+0.00230258*B109-0.0127826*B110</f>
        <v>1.1253290143283186</v>
      </c>
      <c r="C111" s="9">
        <f t="shared" ref="C111:H111" si="51">2.36261+0.365425*C105-0.765526*C106-2.40435*C107+1.59079*C108+0.00230258*C109-0.0127826*C110</f>
        <v>0.8125964376039938</v>
      </c>
      <c r="D111" s="9">
        <f t="shared" si="51"/>
        <v>0.81567528406003253</v>
      </c>
      <c r="E111" s="9">
        <f t="shared" si="51"/>
        <v>1.03300336844051</v>
      </c>
      <c r="F111" s="9">
        <f t="shared" si="51"/>
        <v>0.61993208773124264</v>
      </c>
      <c r="G111" s="9">
        <f t="shared" si="51"/>
        <v>0.53477679448439408</v>
      </c>
      <c r="H111" s="9">
        <f t="shared" si="51"/>
        <v>0.96314409348956009</v>
      </c>
      <c r="J111" t="s">
        <v>100</v>
      </c>
      <c r="K111" s="9">
        <f>2.36261+0.365425*K105-0.765526*K106-2.40435*K107+1.59079*K108+0.00230258*K109-0.0127826*K110</f>
        <v>0.85027521754249491</v>
      </c>
      <c r="L111" s="9">
        <f t="shared" ref="L111" si="52">2.36261+0.365425*L105-0.765526*L106-2.40435*L107+1.59079*L108+0.00230258*L109-0.0127826*L110</f>
        <v>0.69796497848654282</v>
      </c>
      <c r="M111" s="9">
        <f t="shared" ref="M111" si="53">2.36261+0.365425*M105-0.765526*M106-2.40435*M107+1.59079*M108+0.00230258*M109-0.0127826*M110</f>
        <v>8.938833328268514E-2</v>
      </c>
      <c r="N111" s="9">
        <f t="shared" ref="N111" si="54">2.36261+0.365425*N105-0.765526*N106-2.40435*N107+1.59079*N108+0.00230258*N109-0.0127826*N110</f>
        <v>0.70566503944795578</v>
      </c>
      <c r="O111" s="9">
        <f t="shared" ref="O111" si="55">2.36261+0.365425*O105-0.765526*O106-2.40435*O107+1.59079*O108+0.00230258*O109-0.0127826*O110</f>
        <v>0.73219582853132414</v>
      </c>
      <c r="P111" s="9">
        <f t="shared" ref="P111" si="56">2.36261+0.365425*P105-0.765526*P106-2.40435*P107+1.59079*P108+0.00230258*P109-0.0127826*P110</f>
        <v>1.0203375622715831</v>
      </c>
      <c r="Q111" s="9">
        <f t="shared" ref="Q111" si="57">2.36261+0.365425*Q105-0.765526*Q106-2.40435*Q107+1.59079*Q108+0.00230258*Q109-0.0127826*Q110</f>
        <v>0.67274848122012365</v>
      </c>
    </row>
    <row r="112" spans="1:17">
      <c r="B112" t="s">
        <v>83</v>
      </c>
      <c r="C112" t="s">
        <v>83</v>
      </c>
      <c r="D112" t="s">
        <v>83</v>
      </c>
      <c r="E112" t="s">
        <v>83</v>
      </c>
      <c r="F112" t="s">
        <v>83</v>
      </c>
      <c r="G112" t="s">
        <v>83</v>
      </c>
      <c r="H112" t="s">
        <v>83</v>
      </c>
      <c r="K112" t="s">
        <v>83</v>
      </c>
      <c r="L112" t="s">
        <v>83</v>
      </c>
      <c r="M112" t="s">
        <v>83</v>
      </c>
      <c r="N112" t="s">
        <v>83</v>
      </c>
      <c r="O112" t="s">
        <v>83</v>
      </c>
      <c r="P112" t="s">
        <v>83</v>
      </c>
      <c r="Q112" t="s">
        <v>83</v>
      </c>
    </row>
  </sheetData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C80B-7CCC-474C-B973-6DB2A4BB4C46}">
  <dimension ref="A1:Q33"/>
  <sheetViews>
    <sheetView workbookViewId="0">
      <selection activeCell="A25" sqref="A25"/>
    </sheetView>
  </sheetViews>
  <sheetFormatPr baseColWidth="10" defaultRowHeight="15"/>
  <cols>
    <col min="1" max="1" width="59.83203125" bestFit="1" customWidth="1"/>
    <col min="2" max="2" width="12.1640625" bestFit="1" customWidth="1"/>
    <col min="3" max="4" width="11.1640625" bestFit="1" customWidth="1"/>
    <col min="5" max="5" width="12.1640625" bestFit="1" customWidth="1"/>
    <col min="6" max="6" width="11.1640625" bestFit="1" customWidth="1"/>
    <col min="7" max="7" width="12.1640625" bestFit="1" customWidth="1"/>
    <col min="8" max="8" width="11.1640625" bestFit="1" customWidth="1"/>
    <col min="10" max="10" width="59.83203125" bestFit="1" customWidth="1"/>
  </cols>
  <sheetData>
    <row r="1" spans="1:17">
      <c r="A1" s="13" t="s">
        <v>24</v>
      </c>
      <c r="J1" s="24" t="s">
        <v>23</v>
      </c>
    </row>
    <row r="2" spans="1:17">
      <c r="A2" s="23" t="s">
        <v>58</v>
      </c>
      <c r="B2">
        <v>2012</v>
      </c>
      <c r="C2">
        <v>2014</v>
      </c>
      <c r="D2">
        <v>2016</v>
      </c>
      <c r="E2">
        <v>2018</v>
      </c>
      <c r="F2">
        <v>2020</v>
      </c>
      <c r="G2">
        <v>2022</v>
      </c>
      <c r="H2">
        <v>2024</v>
      </c>
      <c r="J2" s="23" t="s">
        <v>58</v>
      </c>
      <c r="K2">
        <v>2012</v>
      </c>
      <c r="L2">
        <v>2014</v>
      </c>
      <c r="M2">
        <v>2016</v>
      </c>
      <c r="N2">
        <v>2018</v>
      </c>
      <c r="O2">
        <v>2020</v>
      </c>
      <c r="P2">
        <v>2022</v>
      </c>
      <c r="Q2">
        <v>2024</v>
      </c>
    </row>
    <row r="3" spans="1:17">
      <c r="A3" s="23" t="s">
        <v>53</v>
      </c>
      <c r="B3" s="2">
        <v>52630780</v>
      </c>
      <c r="C3" s="2">
        <v>46725000</v>
      </c>
      <c r="D3" s="2">
        <v>55559000</v>
      </c>
      <c r="E3" s="2">
        <v>64031000</v>
      </c>
      <c r="F3" s="2">
        <v>83827000</v>
      </c>
      <c r="G3" s="2">
        <v>272327000</v>
      </c>
      <c r="H3" s="2">
        <v>255368000</v>
      </c>
      <c r="J3" s="23" t="s">
        <v>53</v>
      </c>
      <c r="K3" s="2">
        <v>35405</v>
      </c>
      <c r="L3" s="2">
        <v>120600</v>
      </c>
      <c r="M3" s="2">
        <v>580566</v>
      </c>
      <c r="N3" s="2">
        <v>603285</v>
      </c>
      <c r="O3" s="2">
        <v>790335</v>
      </c>
      <c r="P3" s="2">
        <v>1665277</v>
      </c>
      <c r="Q3" s="2">
        <v>3402120</v>
      </c>
    </row>
    <row r="4" spans="1:17">
      <c r="A4" s="23" t="s">
        <v>59</v>
      </c>
      <c r="B4" s="2"/>
      <c r="C4" s="10">
        <f>C3/B3</f>
        <v>0.88778847662907523</v>
      </c>
      <c r="D4" s="10">
        <f t="shared" ref="D4:H4" si="0">D3/C3</f>
        <v>1.189063670411985</v>
      </c>
      <c r="E4" s="10">
        <f t="shared" si="0"/>
        <v>1.1524865458341582</v>
      </c>
      <c r="F4" s="10">
        <f t="shared" si="0"/>
        <v>1.3091627492933111</v>
      </c>
      <c r="G4" s="10">
        <f t="shared" si="0"/>
        <v>3.2486788266310378</v>
      </c>
      <c r="H4" s="10">
        <f t="shared" si="0"/>
        <v>0.93772560194178323</v>
      </c>
      <c r="J4" s="23" t="s">
        <v>59</v>
      </c>
      <c r="K4" s="2"/>
      <c r="L4" s="16">
        <f>L3/K3</f>
        <v>3.4062985454031915</v>
      </c>
      <c r="M4" s="16">
        <f t="shared" ref="M4:Q4" si="1">M3/L3</f>
        <v>4.813980099502488</v>
      </c>
      <c r="N4" s="16">
        <f t="shared" si="1"/>
        <v>1.0391325017310693</v>
      </c>
      <c r="O4" s="16">
        <f t="shared" si="1"/>
        <v>1.3100524627663541</v>
      </c>
      <c r="P4" s="16">
        <f t="shared" si="1"/>
        <v>2.1070520728551818</v>
      </c>
      <c r="Q4" s="16">
        <f t="shared" si="1"/>
        <v>2.0429754329159655</v>
      </c>
    </row>
    <row r="5" spans="1:17">
      <c r="A5" s="23" t="s">
        <v>60</v>
      </c>
      <c r="B5" s="2"/>
      <c r="C5" s="2"/>
      <c r="D5" s="2"/>
      <c r="E5" s="2"/>
      <c r="F5" s="2"/>
      <c r="G5" s="2"/>
      <c r="H5" s="10">
        <f>H3/B3</f>
        <v>4.8520656543566334</v>
      </c>
      <c r="J5" s="23" t="s">
        <v>60</v>
      </c>
      <c r="K5" s="2"/>
      <c r="L5" s="2"/>
      <c r="M5" s="2"/>
      <c r="N5" s="2"/>
      <c r="O5" s="2"/>
      <c r="P5" s="2"/>
      <c r="Q5" s="16">
        <f>Q3/K3</f>
        <v>96.091512498234707</v>
      </c>
    </row>
    <row r="6" spans="1:17">
      <c r="A6" s="23" t="s">
        <v>61</v>
      </c>
      <c r="B6" s="2">
        <v>26810637</v>
      </c>
      <c r="C6" s="2">
        <v>24971000</v>
      </c>
      <c r="D6" s="2">
        <v>30321000</v>
      </c>
      <c r="E6" s="2">
        <v>33867000</v>
      </c>
      <c r="F6" s="2">
        <v>59212000</v>
      </c>
      <c r="G6" s="2">
        <v>153117000</v>
      </c>
      <c r="H6" s="2">
        <v>186761000</v>
      </c>
      <c r="J6" s="23" t="s">
        <v>61</v>
      </c>
      <c r="K6" s="2">
        <v>11751</v>
      </c>
      <c r="L6" s="2">
        <v>54793</v>
      </c>
      <c r="M6" s="2">
        <v>81878</v>
      </c>
      <c r="N6" s="2">
        <v>76760</v>
      </c>
      <c r="O6" s="2">
        <v>148732</v>
      </c>
      <c r="P6" s="2">
        <v>269074</v>
      </c>
      <c r="Q6" s="2">
        <v>1531635</v>
      </c>
    </row>
    <row r="7" spans="1:17">
      <c r="A7" s="23" t="s">
        <v>59</v>
      </c>
      <c r="B7" s="2"/>
      <c r="C7" s="10">
        <f>C6/B6</f>
        <v>0.93138406222873404</v>
      </c>
      <c r="D7" s="10">
        <f t="shared" ref="D7:G7" si="2">D6/C6</f>
        <v>1.2142485282928197</v>
      </c>
      <c r="E7" s="10">
        <f t="shared" si="2"/>
        <v>1.1169486494508756</v>
      </c>
      <c r="F7" s="10">
        <f t="shared" si="2"/>
        <v>1.7483686184191101</v>
      </c>
      <c r="G7" s="10">
        <f t="shared" si="2"/>
        <v>2.5859116395325272</v>
      </c>
      <c r="H7" s="10">
        <f>H6/G6</f>
        <v>1.2197273980028345</v>
      </c>
      <c r="J7" s="23" t="s">
        <v>59</v>
      </c>
      <c r="K7" s="2"/>
      <c r="L7" s="16">
        <f>L6/K6</f>
        <v>4.6628372053442257</v>
      </c>
      <c r="M7" s="16">
        <f t="shared" ref="M7:Q7" si="3">M6/L6</f>
        <v>1.4943149672403409</v>
      </c>
      <c r="N7" s="16">
        <f t="shared" si="3"/>
        <v>0.9374923666919075</v>
      </c>
      <c r="O7" s="16">
        <f t="shared" si="3"/>
        <v>1.9376237623762376</v>
      </c>
      <c r="P7" s="16">
        <f t="shared" si="3"/>
        <v>1.8091197590296642</v>
      </c>
      <c r="Q7" s="16">
        <f t="shared" si="3"/>
        <v>5.6922445126619445</v>
      </c>
    </row>
    <row r="8" spans="1:17">
      <c r="A8" s="23" t="s">
        <v>60</v>
      </c>
      <c r="B8" s="2"/>
      <c r="C8" s="2"/>
      <c r="D8" s="2"/>
      <c r="E8" s="2"/>
      <c r="F8" s="2"/>
      <c r="G8" s="2"/>
      <c r="H8" s="10">
        <f>H6/B6</f>
        <v>6.9659292317448482</v>
      </c>
      <c r="J8" s="23" t="s">
        <v>60</v>
      </c>
      <c r="K8" s="2"/>
      <c r="L8" s="2"/>
      <c r="M8" s="2"/>
      <c r="N8" s="2"/>
      <c r="O8" s="2"/>
      <c r="P8" s="2"/>
      <c r="Q8" s="16">
        <f>Q6/K6</f>
        <v>130.34082205769721</v>
      </c>
    </row>
    <row r="9" spans="1:17">
      <c r="A9" s="23" t="s">
        <v>62</v>
      </c>
      <c r="B9" s="2">
        <v>25820143</v>
      </c>
      <c r="C9" s="2">
        <v>21754000</v>
      </c>
      <c r="D9" s="2">
        <v>25238000</v>
      </c>
      <c r="E9" s="2">
        <v>30164000</v>
      </c>
      <c r="F9" s="2">
        <v>24615000</v>
      </c>
      <c r="G9" s="2">
        <v>119210000</v>
      </c>
      <c r="H9" s="2">
        <v>68607000</v>
      </c>
      <c r="J9" s="23" t="s">
        <v>62</v>
      </c>
      <c r="K9" s="2">
        <v>23654</v>
      </c>
      <c r="L9" s="2">
        <v>65807</v>
      </c>
      <c r="M9" s="2">
        <v>498688</v>
      </c>
      <c r="N9" s="2">
        <v>526525</v>
      </c>
      <c r="O9" s="2">
        <v>641603</v>
      </c>
      <c r="P9" s="2">
        <v>1396203</v>
      </c>
      <c r="Q9" s="2">
        <v>1870485</v>
      </c>
    </row>
    <row r="10" spans="1:17">
      <c r="A10" s="23" t="s">
        <v>59</v>
      </c>
      <c r="B10" s="2"/>
      <c r="C10" s="10">
        <f>C9/B9</f>
        <v>0.84252050811647328</v>
      </c>
      <c r="D10" s="10">
        <f t="shared" ref="D10:H10" si="4">D9/C9</f>
        <v>1.1601544543532223</v>
      </c>
      <c r="E10" s="10">
        <f t="shared" si="4"/>
        <v>1.1951818686108249</v>
      </c>
      <c r="F10" s="10">
        <f t="shared" si="4"/>
        <v>0.81603898687176768</v>
      </c>
      <c r="G10" s="10">
        <f t="shared" si="4"/>
        <v>4.8429819215925249</v>
      </c>
      <c r="H10" s="10">
        <f t="shared" si="4"/>
        <v>0.57551379917792134</v>
      </c>
      <c r="J10" s="23" t="s">
        <v>59</v>
      </c>
      <c r="K10" s="2"/>
      <c r="L10" s="16">
        <f>L9/K9</f>
        <v>2.7820664581043375</v>
      </c>
      <c r="M10" s="16">
        <f t="shared" ref="M10:Q10" si="5">M9/L9</f>
        <v>7.5780388104608933</v>
      </c>
      <c r="N10" s="16">
        <f t="shared" si="5"/>
        <v>1.0558204729209446</v>
      </c>
      <c r="O10" s="16">
        <f t="shared" si="5"/>
        <v>1.2185613218745548</v>
      </c>
      <c r="P10" s="16">
        <f t="shared" si="5"/>
        <v>2.176116695214954</v>
      </c>
      <c r="Q10" s="16">
        <f t="shared" si="5"/>
        <v>1.3396941562222686</v>
      </c>
    </row>
    <row r="11" spans="1:17">
      <c r="A11" s="23" t="s">
        <v>60</v>
      </c>
      <c r="B11" s="2"/>
      <c r="C11" s="2"/>
      <c r="D11" s="2"/>
      <c r="E11" s="2"/>
      <c r="F11" s="2"/>
      <c r="G11" s="2"/>
      <c r="H11" s="10">
        <f>H9/B9</f>
        <v>2.6571115427207355</v>
      </c>
      <c r="J11" s="23" t="s">
        <v>60</v>
      </c>
      <c r="K11" s="2"/>
      <c r="L11" s="2"/>
      <c r="M11" s="2"/>
      <c r="N11" s="2"/>
      <c r="O11" s="2"/>
      <c r="P11" s="2"/>
      <c r="Q11" s="16">
        <f>Q9/K9</f>
        <v>79.076900312843492</v>
      </c>
    </row>
    <row r="12" spans="1:17">
      <c r="A12" s="23" t="s">
        <v>63</v>
      </c>
      <c r="B12" s="2">
        <v>26479187</v>
      </c>
      <c r="C12" s="2">
        <v>18771000</v>
      </c>
      <c r="D12" s="2">
        <v>26764000</v>
      </c>
      <c r="E12" s="2">
        <v>35634000</v>
      </c>
      <c r="F12" s="2">
        <v>41596000</v>
      </c>
      <c r="G12" s="2">
        <v>135948000</v>
      </c>
      <c r="H12" s="2">
        <v>145700000</v>
      </c>
      <c r="J12" s="23" t="s">
        <v>63</v>
      </c>
      <c r="K12" s="2">
        <v>14140</v>
      </c>
      <c r="L12" s="2">
        <v>41444</v>
      </c>
      <c r="M12" s="2">
        <v>85588</v>
      </c>
      <c r="N12" s="2">
        <v>187476</v>
      </c>
      <c r="O12" s="2">
        <v>265980</v>
      </c>
      <c r="P12" s="2">
        <v>704074</v>
      </c>
      <c r="Q12" s="2">
        <v>1183712</v>
      </c>
    </row>
    <row r="13" spans="1:17">
      <c r="A13" s="23" t="s">
        <v>59</v>
      </c>
      <c r="B13" s="2"/>
      <c r="C13" s="10">
        <f>C12/B12</f>
        <v>0.70889638718892689</v>
      </c>
      <c r="D13" s="10">
        <f t="shared" ref="D13:H13" si="6">D12/C12</f>
        <v>1.4258164189441158</v>
      </c>
      <c r="E13" s="10">
        <f t="shared" si="6"/>
        <v>1.3314153340307877</v>
      </c>
      <c r="F13" s="10">
        <f t="shared" si="6"/>
        <v>1.1673121176404557</v>
      </c>
      <c r="G13" s="10">
        <f t="shared" si="6"/>
        <v>3.2682950283681125</v>
      </c>
      <c r="H13" s="10">
        <f t="shared" si="6"/>
        <v>1.0717333097949215</v>
      </c>
      <c r="J13" s="23" t="s">
        <v>59</v>
      </c>
      <c r="K13" s="2"/>
      <c r="L13" s="16">
        <f>L12/K12</f>
        <v>2.9309759547383312</v>
      </c>
      <c r="M13" s="16">
        <f t="shared" ref="M13:Q13" si="7">M12/L12</f>
        <v>2.0651481517228065</v>
      </c>
      <c r="N13" s="16">
        <f t="shared" si="7"/>
        <v>2.1904472589615365</v>
      </c>
      <c r="O13" s="16">
        <f t="shared" si="7"/>
        <v>1.4187415989246623</v>
      </c>
      <c r="P13" s="16">
        <f t="shared" si="7"/>
        <v>2.6470937664486049</v>
      </c>
      <c r="Q13" s="16">
        <f t="shared" si="7"/>
        <v>1.6812323704610594</v>
      </c>
    </row>
    <row r="14" spans="1:17">
      <c r="A14" s="23" t="s">
        <v>60</v>
      </c>
      <c r="B14" s="2"/>
      <c r="C14" s="2"/>
      <c r="D14" s="2"/>
      <c r="E14" s="2"/>
      <c r="F14" s="2"/>
      <c r="G14" s="2"/>
      <c r="H14" s="10">
        <f>H12/B12</f>
        <v>5.5024347990744582</v>
      </c>
      <c r="J14" s="23" t="s">
        <v>60</v>
      </c>
      <c r="K14" s="2"/>
      <c r="L14" s="2"/>
      <c r="M14" s="2"/>
      <c r="N14" s="2"/>
      <c r="O14" s="2"/>
      <c r="P14" s="2"/>
      <c r="Q14" s="16">
        <f>Q12/K12</f>
        <v>83.713719943422916</v>
      </c>
    </row>
    <row r="15" spans="1:17">
      <c r="A15" s="23" t="s">
        <v>64</v>
      </c>
      <c r="B15" s="2">
        <v>9196658</v>
      </c>
      <c r="C15" s="2">
        <v>12305000</v>
      </c>
      <c r="D15" s="2">
        <v>9652000</v>
      </c>
      <c r="E15" s="2">
        <v>11487000</v>
      </c>
      <c r="F15" s="2">
        <v>18524000</v>
      </c>
      <c r="G15" s="2">
        <v>41531000</v>
      </c>
      <c r="H15" s="2">
        <v>48405000</v>
      </c>
      <c r="J15" s="23" t="s">
        <v>64</v>
      </c>
      <c r="K15" s="2">
        <v>892</v>
      </c>
      <c r="L15" s="2">
        <v>15393</v>
      </c>
      <c r="M15" s="2">
        <v>37275</v>
      </c>
      <c r="N15" s="2">
        <v>13679</v>
      </c>
      <c r="O15" s="2">
        <v>52690</v>
      </c>
      <c r="P15" s="2">
        <v>96614</v>
      </c>
      <c r="Q15" s="2">
        <v>845070</v>
      </c>
    </row>
    <row r="16" spans="1:17">
      <c r="A16" s="23" t="s">
        <v>59</v>
      </c>
      <c r="B16" s="2"/>
      <c r="C16" s="10">
        <f>C15/B15</f>
        <v>1.3379860379716197</v>
      </c>
      <c r="D16" s="10">
        <f t="shared" ref="D16:H16" si="8">D15/C15</f>
        <v>0.78439658675335233</v>
      </c>
      <c r="E16" s="10">
        <f t="shared" si="8"/>
        <v>1.190116038126813</v>
      </c>
      <c r="F16" s="10">
        <f t="shared" si="8"/>
        <v>1.61260555410464</v>
      </c>
      <c r="G16" s="10">
        <f t="shared" si="8"/>
        <v>2.2420103649319802</v>
      </c>
      <c r="H16" s="10">
        <f t="shared" si="8"/>
        <v>1.1655149165683465</v>
      </c>
      <c r="J16" s="23" t="s">
        <v>59</v>
      </c>
      <c r="K16" s="2"/>
      <c r="L16" s="16">
        <f>L15/K15</f>
        <v>17.256726457399104</v>
      </c>
      <c r="M16" s="16">
        <f t="shared" ref="M16:P16" si="9">M15/L15</f>
        <v>2.4215552523874488</v>
      </c>
      <c r="N16" s="16">
        <f t="shared" si="9"/>
        <v>0.36697518443997318</v>
      </c>
      <c r="O16" s="16">
        <f t="shared" si="9"/>
        <v>3.8518897580232472</v>
      </c>
      <c r="P16" s="16">
        <f t="shared" si="9"/>
        <v>1.8336306699563485</v>
      </c>
      <c r="Q16" s="16">
        <f>Q15/P15</f>
        <v>8.7468689837911686</v>
      </c>
    </row>
    <row r="17" spans="1:17">
      <c r="A17" s="23" t="s">
        <v>60</v>
      </c>
      <c r="B17" s="2"/>
      <c r="C17" s="2"/>
      <c r="D17" s="2"/>
      <c r="E17" s="2"/>
      <c r="F17" s="2"/>
      <c r="G17" s="2"/>
      <c r="H17" s="10">
        <f>H15/B15</f>
        <v>5.2633250034958348</v>
      </c>
      <c r="J17" s="23" t="s">
        <v>60</v>
      </c>
      <c r="K17" s="2"/>
      <c r="L17" s="2"/>
      <c r="M17" s="2"/>
      <c r="N17" s="2"/>
      <c r="O17" s="2"/>
      <c r="P17" s="2"/>
      <c r="Q17" s="16">
        <f>Q15/K15</f>
        <v>947.38789237668163</v>
      </c>
    </row>
    <row r="18" spans="1:17">
      <c r="A18" s="23" t="s">
        <v>65</v>
      </c>
      <c r="B18" s="2">
        <v>15127289</v>
      </c>
      <c r="C18" s="2">
        <v>14034000</v>
      </c>
      <c r="D18" s="2">
        <v>16621000</v>
      </c>
      <c r="E18" s="2">
        <v>16898000</v>
      </c>
      <c r="F18" s="2">
        <v>22924000</v>
      </c>
      <c r="G18" s="2">
        <v>93837000</v>
      </c>
      <c r="H18" s="2">
        <v>60274000</v>
      </c>
      <c r="J18" s="23" t="s">
        <v>65</v>
      </c>
      <c r="K18" s="2">
        <v>18872</v>
      </c>
      <c r="L18" s="2">
        <v>57497</v>
      </c>
      <c r="M18" s="2">
        <v>447371</v>
      </c>
      <c r="N18" s="2">
        <v>396361</v>
      </c>
      <c r="O18" s="2">
        <v>471764</v>
      </c>
      <c r="P18" s="2">
        <v>864869</v>
      </c>
      <c r="Q18" s="2">
        <v>1372113</v>
      </c>
    </row>
    <row r="19" spans="1:17">
      <c r="A19" s="23" t="s">
        <v>59</v>
      </c>
      <c r="B19" s="2"/>
      <c r="C19" s="10">
        <f>C18/B18</f>
        <v>0.92772736740866124</v>
      </c>
      <c r="D19" s="10">
        <f t="shared" ref="D19:H19" si="10">D18/C18</f>
        <v>1.1843380361978053</v>
      </c>
      <c r="E19" s="10">
        <f t="shared" si="10"/>
        <v>1.0166656639191385</v>
      </c>
      <c r="F19" s="10">
        <f t="shared" si="10"/>
        <v>1.3566102497336963</v>
      </c>
      <c r="G19" s="10">
        <f t="shared" si="10"/>
        <v>4.0933955679637064</v>
      </c>
      <c r="H19" s="10">
        <f t="shared" si="10"/>
        <v>0.64232658759338002</v>
      </c>
      <c r="J19" s="23" t="s">
        <v>59</v>
      </c>
      <c r="K19" s="2"/>
      <c r="L19" s="16">
        <f>L18/K18</f>
        <v>3.0466829164900382</v>
      </c>
      <c r="M19" s="16">
        <f t="shared" ref="M19:Q19" si="11">M18/L18</f>
        <v>7.780771170669774</v>
      </c>
      <c r="N19" s="16">
        <f t="shared" si="11"/>
        <v>0.88597830436036307</v>
      </c>
      <c r="O19" s="16">
        <f t="shared" si="11"/>
        <v>1.1902381919512768</v>
      </c>
      <c r="P19" s="16">
        <f t="shared" si="11"/>
        <v>1.8332662093758745</v>
      </c>
      <c r="Q19" s="16">
        <f t="shared" si="11"/>
        <v>1.5864980708060989</v>
      </c>
    </row>
    <row r="20" spans="1:17">
      <c r="A20" s="23" t="s">
        <v>60</v>
      </c>
      <c r="B20" s="2"/>
      <c r="C20" s="2"/>
      <c r="D20" s="2"/>
      <c r="E20" s="2"/>
      <c r="F20" s="2"/>
      <c r="G20" s="2"/>
      <c r="H20" s="10">
        <f>H18/B18</f>
        <v>3.9844548484530176</v>
      </c>
      <c r="J20" s="23" t="s">
        <v>60</v>
      </c>
      <c r="K20" s="2"/>
      <c r="L20" s="2"/>
      <c r="M20" s="2"/>
      <c r="N20" s="2"/>
      <c r="O20" s="2"/>
      <c r="P20" s="2"/>
      <c r="Q20" s="16">
        <f>Q18/K18</f>
        <v>72.706284442560403</v>
      </c>
    </row>
    <row r="21" spans="1:17">
      <c r="A21" s="23"/>
      <c r="B21" s="2"/>
      <c r="C21" s="2"/>
      <c r="D21" s="2"/>
      <c r="E21" s="2"/>
      <c r="F21" s="2"/>
      <c r="G21" s="2"/>
      <c r="H21" s="2"/>
      <c r="J21" s="23"/>
      <c r="K21" s="2"/>
      <c r="L21" s="2"/>
      <c r="M21" s="2"/>
      <c r="N21" s="2"/>
      <c r="O21" s="2"/>
      <c r="P21" s="2"/>
      <c r="Q21" s="2"/>
    </row>
    <row r="22" spans="1:17">
      <c r="A22" s="23" t="s">
        <v>66</v>
      </c>
      <c r="B22" s="16">
        <f>B6/B3</f>
        <v>0.50940983584130806</v>
      </c>
      <c r="C22" s="16">
        <f t="shared" ref="C22:H22" si="12">C6/C3</f>
        <v>0.53442482611021935</v>
      </c>
      <c r="D22" s="16">
        <f t="shared" si="12"/>
        <v>0.54574416386184055</v>
      </c>
      <c r="E22" s="16">
        <f t="shared" si="12"/>
        <v>0.52891568146678958</v>
      </c>
      <c r="F22" s="16">
        <f t="shared" si="12"/>
        <v>0.70635952616698672</v>
      </c>
      <c r="G22" s="16">
        <f t="shared" si="12"/>
        <v>0.56225420175010188</v>
      </c>
      <c r="H22" s="16">
        <f t="shared" si="12"/>
        <v>0.73134065348829924</v>
      </c>
      <c r="J22" s="23" t="s">
        <v>66</v>
      </c>
      <c r="K22" s="16">
        <f>K6/K3</f>
        <v>0.33190227369015673</v>
      </c>
      <c r="L22" s="16">
        <f t="shared" ref="L22:Q22" si="13">L6/L3</f>
        <v>0.45433665008291874</v>
      </c>
      <c r="M22" s="16">
        <f t="shared" si="13"/>
        <v>0.1410313383835774</v>
      </c>
      <c r="N22" s="16">
        <f t="shared" si="13"/>
        <v>0.12723671233330847</v>
      </c>
      <c r="O22" s="16">
        <f t="shared" si="13"/>
        <v>0.18818855295539233</v>
      </c>
      <c r="P22" s="16">
        <f t="shared" si="13"/>
        <v>0.16157912467415331</v>
      </c>
      <c r="Q22" s="16">
        <f t="shared" si="13"/>
        <v>0.45020016930619733</v>
      </c>
    </row>
    <row r="23" spans="1:17">
      <c r="A23" t="s">
        <v>67</v>
      </c>
      <c r="B23" s="16">
        <f>B9/B3</f>
        <v>0.49059016415869194</v>
      </c>
      <c r="C23" s="16">
        <f t="shared" ref="C23:H23" si="14">C9/C3</f>
        <v>0.46557517388978065</v>
      </c>
      <c r="D23" s="16">
        <f t="shared" si="14"/>
        <v>0.45425583613815945</v>
      </c>
      <c r="E23" s="16">
        <f t="shared" si="14"/>
        <v>0.47108431853321048</v>
      </c>
      <c r="F23" s="16">
        <f t="shared" si="14"/>
        <v>0.29364047383301323</v>
      </c>
      <c r="G23" s="16">
        <f t="shared" si="14"/>
        <v>0.43774579824989812</v>
      </c>
      <c r="H23" s="16">
        <f t="shared" si="14"/>
        <v>0.26865934651170076</v>
      </c>
      <c r="J23" t="s">
        <v>67</v>
      </c>
      <c r="K23" s="16">
        <f>K9/K3</f>
        <v>0.66809772630984321</v>
      </c>
      <c r="L23" s="16">
        <f t="shared" ref="L23:Q23" si="15">L9/L3</f>
        <v>0.54566334991708121</v>
      </c>
      <c r="M23" s="16">
        <f t="shared" si="15"/>
        <v>0.8589686616164226</v>
      </c>
      <c r="N23" s="16">
        <f t="shared" si="15"/>
        <v>0.87276328766669153</v>
      </c>
      <c r="O23" s="16">
        <f t="shared" si="15"/>
        <v>0.81181144704460761</v>
      </c>
      <c r="P23" s="16">
        <f t="shared" si="15"/>
        <v>0.83842087532584664</v>
      </c>
      <c r="Q23" s="16">
        <f t="shared" si="15"/>
        <v>0.54979983069380267</v>
      </c>
    </row>
    <row r="24" spans="1:17">
      <c r="A24" t="s">
        <v>68</v>
      </c>
      <c r="B24" s="16">
        <f>B12/B3</f>
        <v>0.50311219024304787</v>
      </c>
      <c r="C24" s="16">
        <f t="shared" ref="C24:H24" si="16">C12/C3</f>
        <v>0.40173354735152489</v>
      </c>
      <c r="D24" s="16">
        <f t="shared" si="16"/>
        <v>0.48172213322773988</v>
      </c>
      <c r="E24" s="16">
        <f t="shared" si="16"/>
        <v>0.5565116896503256</v>
      </c>
      <c r="F24" s="16">
        <f t="shared" si="16"/>
        <v>0.49621243752013072</v>
      </c>
      <c r="G24" s="16">
        <f t="shared" si="16"/>
        <v>0.4992086719274989</v>
      </c>
      <c r="H24" s="16">
        <f t="shared" si="16"/>
        <v>0.57054916825913971</v>
      </c>
      <c r="J24" t="s">
        <v>68</v>
      </c>
      <c r="K24" s="16">
        <f>K12/K3</f>
        <v>0.39937861883914699</v>
      </c>
      <c r="L24" s="16">
        <f t="shared" ref="L24:Q24" si="17">L12/L3</f>
        <v>0.34364842454394695</v>
      </c>
      <c r="M24" s="16">
        <f t="shared" si="17"/>
        <v>0.14742165404105648</v>
      </c>
      <c r="N24" s="16">
        <f t="shared" si="17"/>
        <v>0.31075859668315969</v>
      </c>
      <c r="O24" s="16">
        <f t="shared" si="17"/>
        <v>0.33654083395016038</v>
      </c>
      <c r="P24" s="16">
        <f t="shared" si="17"/>
        <v>0.42279692807863195</v>
      </c>
      <c r="Q24" s="16">
        <f t="shared" si="17"/>
        <v>0.34793364137655347</v>
      </c>
    </row>
    <row r="25" spans="1:17">
      <c r="A25" t="s">
        <v>69</v>
      </c>
      <c r="B25" s="16">
        <f>B15/B3</f>
        <v>0.17473915454036593</v>
      </c>
      <c r="C25" s="16">
        <f t="shared" ref="C25:H25" si="18">C15/C3</f>
        <v>0.26334938469769931</v>
      </c>
      <c r="D25" s="16">
        <f t="shared" si="18"/>
        <v>0.17372522903579979</v>
      </c>
      <c r="E25" s="16">
        <f t="shared" si="18"/>
        <v>0.1793974793459418</v>
      </c>
      <c r="F25" s="16">
        <f t="shared" si="18"/>
        <v>0.22097892087274984</v>
      </c>
      <c r="G25" s="16">
        <f t="shared" si="18"/>
        <v>0.15250415860344366</v>
      </c>
      <c r="H25" s="16">
        <f t="shared" si="18"/>
        <v>0.18954998276996335</v>
      </c>
      <c r="J25" t="s">
        <v>69</v>
      </c>
      <c r="K25" s="16">
        <f>K15/K3</f>
        <v>2.5194181612766559E-2</v>
      </c>
      <c r="L25" s="16">
        <f t="shared" ref="L25:Q25" si="19">L15/L3</f>
        <v>0.12763681592039802</v>
      </c>
      <c r="M25" s="16">
        <f t="shared" si="19"/>
        <v>6.4204586558634161E-2</v>
      </c>
      <c r="N25" s="16">
        <f t="shared" si="19"/>
        <v>2.2674192131413841E-2</v>
      </c>
      <c r="O25" s="16">
        <f t="shared" si="19"/>
        <v>6.6667931952906045E-2</v>
      </c>
      <c r="P25" s="16">
        <f t="shared" si="19"/>
        <v>5.801677438648345E-2</v>
      </c>
      <c r="Q25" s="16">
        <f t="shared" si="19"/>
        <v>0.24839511833797751</v>
      </c>
    </row>
    <row r="26" spans="1:17">
      <c r="A26" t="s">
        <v>70</v>
      </c>
      <c r="B26" s="16">
        <f>B18/B3</f>
        <v>0.28742285407892493</v>
      </c>
      <c r="C26" s="16">
        <f t="shared" ref="C26:H26" si="20">C18/C3</f>
        <v>0.30035313001605135</v>
      </c>
      <c r="D26" s="16">
        <f t="shared" si="20"/>
        <v>0.29915945211396894</v>
      </c>
      <c r="E26" s="16">
        <f t="shared" si="20"/>
        <v>0.26390342178007525</v>
      </c>
      <c r="F26" s="16">
        <f t="shared" si="20"/>
        <v>0.2734679757118828</v>
      </c>
      <c r="G26" s="16">
        <f t="shared" si="20"/>
        <v>0.34457472083194102</v>
      </c>
      <c r="H26" s="16">
        <f t="shared" si="20"/>
        <v>0.23602800664139595</v>
      </c>
      <c r="J26" t="s">
        <v>70</v>
      </c>
      <c r="K26" s="16">
        <f>K18/K3</f>
        <v>0.53303205761898032</v>
      </c>
      <c r="L26" s="16">
        <f t="shared" ref="L26:Q26" si="21">L18/L3</f>
        <v>0.47675787728026536</v>
      </c>
      <c r="M26" s="16">
        <f t="shared" si="21"/>
        <v>0.77057733315419785</v>
      </c>
      <c r="N26" s="16">
        <f t="shared" si="21"/>
        <v>0.65700456666418028</v>
      </c>
      <c r="O26" s="16">
        <f t="shared" si="21"/>
        <v>0.59691649743463215</v>
      </c>
      <c r="P26" s="16">
        <f t="shared" si="21"/>
        <v>0.51935443773017942</v>
      </c>
      <c r="Q26" s="16">
        <f t="shared" si="21"/>
        <v>0.40331117068181016</v>
      </c>
    </row>
    <row r="27" spans="1:17">
      <c r="B27" s="2"/>
      <c r="C27" s="2"/>
      <c r="D27" s="2"/>
      <c r="E27" s="2"/>
      <c r="F27" s="2"/>
      <c r="G27" s="2"/>
      <c r="H27" s="2"/>
      <c r="K27" s="2"/>
      <c r="L27" s="2"/>
      <c r="M27" s="2"/>
      <c r="N27" s="2"/>
      <c r="O27" s="2"/>
      <c r="P27" s="2"/>
      <c r="Q27" s="2"/>
    </row>
    <row r="28" spans="1:17">
      <c r="A28" t="s">
        <v>71</v>
      </c>
      <c r="B28" s="16">
        <f>(B12+B15)/B6</f>
        <v>1.3306601033015366</v>
      </c>
      <c r="C28" s="16">
        <f t="shared" ref="C28:H28" si="22">(C12+C15)/C6</f>
        <v>1.2444836009771334</v>
      </c>
      <c r="D28" s="16">
        <f t="shared" si="22"/>
        <v>1.2010157976320042</v>
      </c>
      <c r="E28" s="16">
        <f t="shared" si="22"/>
        <v>1.391354415802994</v>
      </c>
      <c r="F28" s="16">
        <f t="shared" si="22"/>
        <v>1.0153347294467339</v>
      </c>
      <c r="G28" s="16">
        <f t="shared" si="22"/>
        <v>1.1591070880437835</v>
      </c>
      <c r="H28" s="16">
        <f t="shared" si="22"/>
        <v>1.0393229849915133</v>
      </c>
      <c r="J28" t="s">
        <v>71</v>
      </c>
      <c r="K28" s="16">
        <f>(K12+K15)/K6</f>
        <v>1.2792102799761722</v>
      </c>
      <c r="L28" s="16">
        <f t="shared" ref="L28:Q28" si="23">(L12+L15)/L6</f>
        <v>1.0373040351869764</v>
      </c>
      <c r="M28" s="16">
        <f t="shared" si="23"/>
        <v>1.5005618114756101</v>
      </c>
      <c r="N28" s="16">
        <f t="shared" si="23"/>
        <v>2.6205706096925483</v>
      </c>
      <c r="O28" s="16">
        <f t="shared" si="23"/>
        <v>2.1425785977462821</v>
      </c>
      <c r="P28" s="16">
        <f t="shared" si="23"/>
        <v>2.9757167173342651</v>
      </c>
      <c r="Q28" s="16">
        <f t="shared" si="23"/>
        <v>1.3245858184227965</v>
      </c>
    </row>
    <row r="29" spans="1:17">
      <c r="A29" t="s">
        <v>72</v>
      </c>
      <c r="B29" s="16">
        <f>B18/B9</f>
        <v>0.58587161968855095</v>
      </c>
      <c r="C29" s="16">
        <f t="shared" ref="C29:H29" si="24">C18/C9</f>
        <v>0.64512273604854276</v>
      </c>
      <c r="D29" s="16">
        <f t="shared" si="24"/>
        <v>0.6585704096996593</v>
      </c>
      <c r="E29" s="16">
        <f t="shared" si="24"/>
        <v>0.56020421694735445</v>
      </c>
      <c r="F29" s="16">
        <f t="shared" si="24"/>
        <v>0.93130205159455615</v>
      </c>
      <c r="G29" s="16">
        <f t="shared" si="24"/>
        <v>0.78715711769146879</v>
      </c>
      <c r="H29" s="16">
        <f t="shared" si="24"/>
        <v>0.87854009066130279</v>
      </c>
      <c r="J29" t="s">
        <v>72</v>
      </c>
      <c r="K29" s="16">
        <f>K18/K9</f>
        <v>0.79783546123277249</v>
      </c>
      <c r="L29" s="16">
        <f>L18/L9</f>
        <v>0.87372164055495616</v>
      </c>
      <c r="M29" s="16">
        <f t="shared" ref="M29:Q29" si="25">M18/M9</f>
        <v>0.89709597985112932</v>
      </c>
      <c r="N29" s="16">
        <f t="shared" si="25"/>
        <v>0.7527866672997483</v>
      </c>
      <c r="O29" s="16">
        <f t="shared" si="25"/>
        <v>0.73528957938164252</v>
      </c>
      <c r="P29" s="16">
        <f t="shared" si="25"/>
        <v>0.61944359093913992</v>
      </c>
      <c r="Q29" s="16">
        <f t="shared" si="25"/>
        <v>0.73356001251012437</v>
      </c>
    </row>
    <row r="30" spans="1:17">
      <c r="B30" s="2"/>
      <c r="C30" s="2"/>
      <c r="D30" s="2"/>
      <c r="E30" s="2"/>
      <c r="F30" s="2"/>
      <c r="G30" s="2"/>
      <c r="H30" s="2"/>
      <c r="K30" s="2"/>
      <c r="L30" s="2"/>
      <c r="M30" s="2"/>
      <c r="N30" s="2"/>
      <c r="O30" s="2"/>
      <c r="P30" s="2"/>
      <c r="Q30" s="2"/>
    </row>
    <row r="31" spans="1:17">
      <c r="A31" t="s">
        <v>73</v>
      </c>
      <c r="B31" s="2">
        <f t="shared" ref="B31:H31" si="26">B9-B18</f>
        <v>10692854</v>
      </c>
      <c r="C31" s="2">
        <f t="shared" si="26"/>
        <v>7720000</v>
      </c>
      <c r="D31" s="2">
        <f t="shared" si="26"/>
        <v>8617000</v>
      </c>
      <c r="E31" s="2">
        <f t="shared" si="26"/>
        <v>13266000</v>
      </c>
      <c r="F31" s="2">
        <f t="shared" si="26"/>
        <v>1691000</v>
      </c>
      <c r="G31" s="2">
        <f t="shared" si="26"/>
        <v>25373000</v>
      </c>
      <c r="H31" s="2">
        <f t="shared" si="26"/>
        <v>8333000</v>
      </c>
      <c r="J31" t="s">
        <v>73</v>
      </c>
      <c r="K31" s="2">
        <f t="shared" ref="K31:Q31" si="27">K9-K18</f>
        <v>4782</v>
      </c>
      <c r="L31" s="2">
        <f t="shared" si="27"/>
        <v>8310</v>
      </c>
      <c r="M31" s="2">
        <f t="shared" si="27"/>
        <v>51317</v>
      </c>
      <c r="N31" s="2">
        <f t="shared" si="27"/>
        <v>130164</v>
      </c>
      <c r="O31" s="2">
        <f t="shared" si="27"/>
        <v>169839</v>
      </c>
      <c r="P31" s="2">
        <f t="shared" si="27"/>
        <v>531334</v>
      </c>
      <c r="Q31" s="2">
        <f t="shared" si="27"/>
        <v>498372</v>
      </c>
    </row>
    <row r="33" spans="1:1">
      <c r="A3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Analiza wskaźnikowa</vt:lpstr>
      <vt:lpstr>Analiza strukturalna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Kajtek Bernat</dc:creator>
  <cp:lastModifiedBy>Kajetan Bernat</cp:lastModifiedBy>
  <dcterms:created xsi:type="dcterms:W3CDTF">2025-05-13T17:37:38Z</dcterms:created>
  <dcterms:modified xsi:type="dcterms:W3CDTF">2026-01-12T21:58:25Z</dcterms:modified>
</cp:coreProperties>
</file>