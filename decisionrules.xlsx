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skar\Downloads\"/>
    </mc:Choice>
  </mc:AlternateContent>
  <xr:revisionPtr revIDLastSave="0" documentId="13_ncr:1_{5A679CFB-4141-42F1-8F11-F8D3AEF521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KN Orlen" sheetId="1" r:id="rId1"/>
    <sheet name="Unimot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2" l="1"/>
  <c r="T28" i="2"/>
  <c r="S28" i="2"/>
  <c r="R28" i="2"/>
  <c r="Q28" i="2"/>
  <c r="P28" i="2"/>
  <c r="O28" i="2"/>
  <c r="U27" i="2"/>
  <c r="T27" i="2"/>
  <c r="S27" i="2"/>
  <c r="R27" i="2"/>
  <c r="Q27" i="2"/>
  <c r="P27" i="2"/>
  <c r="O27" i="2"/>
  <c r="U26" i="2"/>
  <c r="T26" i="2"/>
  <c r="S26" i="2"/>
  <c r="R26" i="2"/>
  <c r="Q26" i="2"/>
  <c r="P26" i="2"/>
  <c r="O26" i="2"/>
  <c r="U25" i="2"/>
  <c r="T25" i="2"/>
  <c r="S25" i="2"/>
  <c r="R25" i="2"/>
  <c r="Q25" i="2"/>
  <c r="P25" i="2"/>
  <c r="O25" i="2"/>
  <c r="U20" i="2"/>
  <c r="T20" i="2"/>
  <c r="S20" i="2"/>
  <c r="R20" i="2"/>
  <c r="Q20" i="2"/>
  <c r="P20" i="2"/>
  <c r="O20" i="2"/>
  <c r="U19" i="2"/>
  <c r="T19" i="2"/>
  <c r="S19" i="2"/>
  <c r="R19" i="2"/>
  <c r="Q19" i="2"/>
  <c r="P19" i="2"/>
  <c r="O19" i="2"/>
  <c r="U18" i="2"/>
  <c r="T18" i="2"/>
  <c r="S18" i="2"/>
  <c r="R18" i="2"/>
  <c r="Q18" i="2"/>
  <c r="P18" i="2"/>
  <c r="O18" i="2"/>
  <c r="U17" i="2"/>
  <c r="T17" i="2"/>
  <c r="S17" i="2"/>
  <c r="R17" i="2"/>
  <c r="Q17" i="2"/>
  <c r="P17" i="2"/>
  <c r="O17" i="2"/>
  <c r="P28" i="1"/>
  <c r="Q28" i="1"/>
  <c r="R28" i="1"/>
  <c r="S28" i="1"/>
  <c r="T28" i="1"/>
  <c r="U28" i="1"/>
  <c r="O28" i="1"/>
  <c r="P27" i="1"/>
  <c r="Q27" i="1"/>
  <c r="R27" i="1"/>
  <c r="S27" i="1"/>
  <c r="T27" i="1"/>
  <c r="U27" i="1"/>
  <c r="O27" i="1"/>
  <c r="P26" i="1"/>
  <c r="Q26" i="1"/>
  <c r="R26" i="1"/>
  <c r="S26" i="1"/>
  <c r="T26" i="1"/>
  <c r="U26" i="1"/>
  <c r="O26" i="1"/>
  <c r="P25" i="1"/>
  <c r="Q25" i="1"/>
  <c r="R25" i="1"/>
  <c r="S25" i="1"/>
  <c r="T25" i="1"/>
  <c r="U25" i="1"/>
  <c r="O25" i="1"/>
  <c r="P20" i="1"/>
  <c r="Q20" i="1"/>
  <c r="R20" i="1"/>
  <c r="S20" i="1"/>
  <c r="T20" i="1"/>
  <c r="U20" i="1"/>
  <c r="O20" i="1"/>
  <c r="P19" i="1"/>
  <c r="Q19" i="1"/>
  <c r="R19" i="1"/>
  <c r="S19" i="1"/>
  <c r="T19" i="1"/>
  <c r="U19" i="1"/>
  <c r="O19" i="1"/>
  <c r="P18" i="1"/>
  <c r="Q18" i="1"/>
  <c r="R18" i="1"/>
  <c r="S18" i="1"/>
  <c r="T18" i="1"/>
  <c r="U18" i="1"/>
  <c r="O18" i="1"/>
  <c r="P17" i="1"/>
  <c r="Q17" i="1"/>
  <c r="R17" i="1"/>
  <c r="S17" i="1"/>
  <c r="T17" i="1"/>
  <c r="U17" i="1"/>
  <c r="O17" i="1"/>
</calcChain>
</file>

<file path=xl/sharedStrings.xml><?xml version="1.0" encoding="utf-8"?>
<sst xmlns="http://schemas.openxmlformats.org/spreadsheetml/2006/main" count="160" uniqueCount="66">
  <si>
    <t>If X3_1 &lt;= 0,85 and X8_1 &lt;= (-0,1321) and X9_1 &lt;= 1,54 and X10_1 &lt;= (-0,2351) then 0</t>
  </si>
  <si>
    <t>If X3_1 &lt;= 0,85 and X8_1 &lt;= (-0,1321) and X9_1 &lt;= 1,54 and X10_1 &gt; (-0,2351) then 0</t>
  </si>
  <si>
    <t>If X3_1 &lt;=0,85 and X8_1 &lt;= (-0,1321) and X9_1 &gt;1,54 and X10_1 &gt; (-0,2351) then 0</t>
  </si>
  <si>
    <t>If X3_1 &lt;=0,85 and X8_1 &gt; (-0,1321) and X9_1 &gt;1,54 and X10_1 &gt; (-0,2351) then 1</t>
  </si>
  <si>
    <t>If X3_1 &gt; 0,85 and X8_1 &gt; (-0,1321) and X9_1 &gt;1,54 and X10_1 &gt; (-0,2351) then 1</t>
  </si>
  <si>
    <t>If X3_1 &gt; 0,85 and X8_1 &gt; (-0,1321) and X9_1 &gt;1,54 and X10_1 &lt;= (-0,2351) then 1</t>
  </si>
  <si>
    <t>If X3_1 &gt; 0,85 and X8_1 &gt; (-0,1321) and X9_1 &lt;= 1,54 and X10_1 &lt;= (-0,2351) then 1</t>
  </si>
  <si>
    <t>If X3_1 &gt; 0,85 and X8_1 &lt;= (-0,1321) and X9_1 &lt;= 1,54 and X10_1 &lt;= (-0,2351) then 0</t>
  </si>
  <si>
    <t>If X3_1 &lt;=0,85 and X8_1 &gt; (-0,1321) and X9_1 &lt;= 1,54 and X10_1 &lt;= (-0,2351) then 0</t>
  </si>
  <si>
    <t>If X3_1 &lt;=0,85 and X8_1 &lt;= (-0,1321) and X9_1 &gt;1,54 and X10_1 &lt;= (-0,2351) then 0</t>
  </si>
  <si>
    <t>If X3_1 &lt;=0,85 and X8_1 &gt; (-0,1321) and X9_1 &gt; 1,54 and X10_1 &lt;= (-0,2351) then 0</t>
  </si>
  <si>
    <t>If X3_1 &gt; 0,85 and X8_1 &lt;= (-0,1321) and X9_1 &gt;1,54 and X10_1 &gt; (-0,2351) then 1</t>
  </si>
  <si>
    <t>If X3_1 &gt; 0,85 and X8_1 &gt; (-0,1321) and X9_1 &lt;= 1,54 and X10_1 &gt; (-0,2351) then 1</t>
  </si>
  <si>
    <t>If X3_1 &gt; 0,85 and X8_1 &lt;= (-0,1321) and X9_1 &lt;= 1,54 and X10_1 &gt; (-0,2351) then 0</t>
  </si>
  <si>
    <t>If X3_1 &gt; 0,85 and X8_1 &lt;= (-0,1321) and X9_1 &gt;1,54 and X10_1 &lt;= (-0,2351) then 0</t>
  </si>
  <si>
    <t>If X3_1 &lt;=0,85 and X8_1 &gt; (-0,1321) and X9_1 &lt;= 1,54 and X10_1 &gt; (-0,2351) then 0</t>
  </si>
  <si>
    <t>W krótkim terminie</t>
  </si>
  <si>
    <t>X3_1</t>
  </si>
  <si>
    <t>X8_1</t>
  </si>
  <si>
    <t>X9_1</t>
  </si>
  <si>
    <t>X10_1</t>
  </si>
  <si>
    <t>AO/ZK</t>
  </si>
  <si>
    <t>(ZN+A)/ZOB</t>
  </si>
  <si>
    <t>KO/ZK</t>
  </si>
  <si>
    <t>ZB/ZK</t>
  </si>
  <si>
    <t>AO - aktywa obrotowe</t>
  </si>
  <si>
    <t>ZK - zobowiązania krótkoterminowe</t>
  </si>
  <si>
    <t>ZN- zysk netto</t>
  </si>
  <si>
    <t>A - amortyzacja</t>
  </si>
  <si>
    <t>KO - koszty operacyjne</t>
  </si>
  <si>
    <t>ZOB - zobowiązania ogółem</t>
  </si>
  <si>
    <t>If X1_2 &lt;= 0,02 and X5_2 &lt;= 0,14 and X8_2 &lt;= 0,102 and X7_2 &lt;= 0,8 then 0</t>
  </si>
  <si>
    <t>If X1_2 &lt;= 0,02 and X5_2 &lt;= 0,14 and X8_2 &lt;= 0,102 and X7_2 &gt; 0,8 then 0</t>
  </si>
  <si>
    <t>If X1_2 &lt;=0,02 and X5_2 &lt;= 0,14 and X8_2 &gt;0,102 and X7_2 &gt; 0,8 then 0</t>
  </si>
  <si>
    <t>If X1_2 &lt;=0,02 and X5_2 &gt; 0,14 and X8_2 &gt;0,102 and X7_2 &gt; 0,8 then 1</t>
  </si>
  <si>
    <t>If X1_2 &gt; 0,02 and X5_2 &gt; 0,14 and X8_2 &gt;0,102 and X7_2 &gt; 0,8 then 1</t>
  </si>
  <si>
    <t>If X1_2 &gt; 0,02 and X5_2&gt; 0,14 and X8_2 &gt;0,102 and X7_2 &lt;= 0,8 then 1</t>
  </si>
  <si>
    <t>If X1_2 &gt; 0,02 and X5_2 &gt; 0,14 and X8_2 &lt;= 0,102 and X7_2 &lt;= 0,8 then 1</t>
  </si>
  <si>
    <t>If X1_2 &gt; 0,02 and X5_2&lt;= 0,14 and X8_2 &lt;= 0,102 and X7_2 &lt;= 0,8 then 0</t>
  </si>
  <si>
    <t>If X1_2 &lt;=0,02 and X5_2 &gt; 0,14 and X8_2 &lt;= 0,102 and X7_2 &lt;= 0,8 then 0</t>
  </si>
  <si>
    <t>If X1_2 &lt;=0,02 and X5_2 &lt;= 0,14 and X8_2 &gt;0,102 and X7_2 &lt;= 0,8 then 0</t>
  </si>
  <si>
    <t>If X1_2 &lt;=0,02 and X5_2 &gt; 0,14 and X8_2 &gt; 0,102 and X7_2 &lt;= 0,8 then 0</t>
  </si>
  <si>
    <t>If X1_2 &gt; 0,02 and X5_2 &lt;= 0,14 and X8_2 &gt;0,102 and X7_2 &gt; 0,8 then 1</t>
  </si>
  <si>
    <t>If X1_2 &gt; 0,02 and X5_2 &gt; 0,14 and X8_2 &lt;= 0,102 and X7_2 &gt; 0,8 then 1</t>
  </si>
  <si>
    <t>If X1_2 &gt; 0,02 and X5_2 &lt;= 0,14 and X8_2 &lt;= 0,102 and X7_2 &gt; 0,8 then 0</t>
  </si>
  <si>
    <t>If X1_2 &gt; 0,02 and X5_2 &lt;= 0,14 and X8_2 &gt; 0,102 and X7_2&lt;= 0,8 then 0</t>
  </si>
  <si>
    <t>If X1_2 &lt;=0,02 and X5_2 &gt; 0,14 and X8_2 &lt;= 0,102 and X7_2 &gt; 0,8 then 0</t>
  </si>
  <si>
    <t>ZS/SB</t>
  </si>
  <si>
    <t>KP/SB</t>
  </si>
  <si>
    <t>KW/ZOB</t>
  </si>
  <si>
    <t>W długim terminie</t>
  </si>
  <si>
    <t>SB - aktywa ogółem</t>
  </si>
  <si>
    <t>KP - kapitał obrotowy</t>
  </si>
  <si>
    <t>KW - kapitał własny</t>
  </si>
  <si>
    <t>ZB - zysk brutto</t>
  </si>
  <si>
    <t>ZS - zysk ze sprzedaży</t>
  </si>
  <si>
    <t>krótki termin</t>
  </si>
  <si>
    <t>długi termin</t>
  </si>
  <si>
    <t>przypadek</t>
  </si>
  <si>
    <t>decyzja</t>
  </si>
  <si>
    <t>1 - brak ryzyka</t>
  </si>
  <si>
    <t>0 - ryzyko bankructwa</t>
  </si>
  <si>
    <t>X1_2</t>
  </si>
  <si>
    <t>X5_2</t>
  </si>
  <si>
    <t>X8_2</t>
  </si>
  <si>
    <t>X7_2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</si>
</sst>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U49"/>
  <sheetViews>
    <sheetView tabSelected="1" workbookViewId="0">
      <selection activeCell="E21" sqref="E21"/>
    </sheetView>
  </sheetViews>
  <sheetFormatPr defaultColWidth="8.85546875" defaultRowHeight="15" x14ac:dyDescent="0.25"/>
  <cols>
    <col min="9" max="9" width="12.7109375" customWidth="1"/>
    <col min="14" max="14" width="28.42578125" bestFit="1" customWidth="1"/>
    <col min="15" max="15" width="12.28515625" bestFit="1" customWidth="1"/>
    <col min="16" max="16" width="17.7109375" bestFit="1" customWidth="1"/>
    <col min="17" max="18" width="12.28515625" bestFit="1" customWidth="1"/>
    <col min="19" max="19" width="18" bestFit="1" customWidth="1"/>
    <col min="20" max="21" width="12.28515625" bestFit="1" customWidth="1"/>
  </cols>
  <sheetData>
    <row r="3" spans="3:21" x14ac:dyDescent="0.25">
      <c r="H3" s="3"/>
      <c r="I3" s="3"/>
      <c r="J3" s="3"/>
      <c r="K3" s="3"/>
      <c r="O3">
        <v>2012</v>
      </c>
      <c r="P3">
        <v>2014</v>
      </c>
      <c r="Q3">
        <v>2016</v>
      </c>
      <c r="R3">
        <v>2018</v>
      </c>
      <c r="S3">
        <v>2020</v>
      </c>
      <c r="T3">
        <v>2022</v>
      </c>
      <c r="U3">
        <v>2024</v>
      </c>
    </row>
    <row r="4" spans="3:21" x14ac:dyDescent="0.25">
      <c r="C4" t="s">
        <v>16</v>
      </c>
      <c r="H4" s="3"/>
      <c r="I4" s="3"/>
      <c r="J4" s="3"/>
      <c r="K4" s="3"/>
      <c r="M4" s="5"/>
      <c r="N4" t="s">
        <v>25</v>
      </c>
      <c r="O4" s="5">
        <v>25820143</v>
      </c>
      <c r="P4" s="5">
        <v>21754000</v>
      </c>
      <c r="Q4" s="5">
        <v>25238000</v>
      </c>
      <c r="R4" s="5">
        <v>30164000</v>
      </c>
      <c r="S4" s="5">
        <v>24615000</v>
      </c>
      <c r="T4" s="5">
        <v>119210000</v>
      </c>
      <c r="U4" s="5">
        <v>68607000</v>
      </c>
    </row>
    <row r="5" spans="3:21" x14ac:dyDescent="0.25">
      <c r="H5" s="4"/>
      <c r="I5" s="4"/>
      <c r="J5" s="4"/>
      <c r="N5" t="s">
        <v>26</v>
      </c>
      <c r="O5" s="5">
        <v>15127289</v>
      </c>
      <c r="P5" s="5">
        <v>14034000</v>
      </c>
      <c r="Q5" s="5">
        <v>16621000</v>
      </c>
      <c r="R5" s="5">
        <v>16898000</v>
      </c>
      <c r="S5" s="5">
        <v>22924000</v>
      </c>
      <c r="T5" s="5">
        <v>93837000</v>
      </c>
      <c r="U5" s="5">
        <v>60274000</v>
      </c>
    </row>
    <row r="6" spans="3:21" x14ac:dyDescent="0.25">
      <c r="N6" t="s">
        <v>27</v>
      </c>
      <c r="O6" s="5">
        <v>2169990</v>
      </c>
      <c r="P6" s="5">
        <v>-5828000</v>
      </c>
      <c r="Q6" s="5">
        <v>5740000</v>
      </c>
      <c r="R6" s="5">
        <v>5511000</v>
      </c>
      <c r="S6" s="5">
        <v>2825000</v>
      </c>
      <c r="T6" s="5">
        <v>33630000</v>
      </c>
      <c r="U6" s="5">
        <v>1383000</v>
      </c>
    </row>
    <row r="7" spans="3:21" x14ac:dyDescent="0.25">
      <c r="C7" s="1">
        <v>1</v>
      </c>
      <c r="E7" t="s">
        <v>0</v>
      </c>
      <c r="N7" t="s">
        <v>28</v>
      </c>
      <c r="O7" s="5">
        <v>2260122</v>
      </c>
      <c r="P7" s="5">
        <v>1991000</v>
      </c>
      <c r="Q7" s="5">
        <v>2110000</v>
      </c>
      <c r="R7" s="5">
        <v>2673000</v>
      </c>
      <c r="S7" s="5">
        <v>4537000</v>
      </c>
      <c r="T7" s="5">
        <v>6946000</v>
      </c>
      <c r="U7" s="5">
        <v>14014000</v>
      </c>
    </row>
    <row r="8" spans="3:21" x14ac:dyDescent="0.25">
      <c r="C8" s="1">
        <v>2</v>
      </c>
      <c r="E8" t="s">
        <v>1</v>
      </c>
      <c r="N8" t="s">
        <v>29</v>
      </c>
      <c r="O8" s="5">
        <v>1314298</v>
      </c>
      <c r="P8" s="5">
        <v>5924000</v>
      </c>
      <c r="Q8" s="5">
        <v>707000</v>
      </c>
      <c r="R8" s="5">
        <v>1085000</v>
      </c>
      <c r="S8" s="5">
        <v>6226000</v>
      </c>
      <c r="T8" s="5">
        <v>15940000</v>
      </c>
      <c r="U8" s="5">
        <v>21870000</v>
      </c>
    </row>
    <row r="9" spans="3:21" x14ac:dyDescent="0.25">
      <c r="C9" s="9">
        <v>3</v>
      </c>
      <c r="E9" t="s">
        <v>2</v>
      </c>
      <c r="N9" t="s">
        <v>54</v>
      </c>
      <c r="O9" s="5">
        <v>2624443</v>
      </c>
      <c r="P9" s="5">
        <v>-6246000</v>
      </c>
      <c r="Q9" s="5">
        <v>6887000</v>
      </c>
      <c r="R9" s="5">
        <v>6999000</v>
      </c>
      <c r="S9" s="5">
        <v>2922000</v>
      </c>
      <c r="T9" s="5">
        <v>40593000</v>
      </c>
      <c r="U9" s="5">
        <v>7619000</v>
      </c>
    </row>
    <row r="10" spans="3:21" x14ac:dyDescent="0.25">
      <c r="C10" s="1">
        <v>4</v>
      </c>
      <c r="E10" s="2" t="s">
        <v>3</v>
      </c>
      <c r="N10" t="s">
        <v>30</v>
      </c>
      <c r="O10" s="5">
        <v>24323947</v>
      </c>
      <c r="P10" s="5">
        <v>26339000</v>
      </c>
      <c r="Q10" s="5">
        <v>26273000</v>
      </c>
      <c r="R10" s="5">
        <v>28385000</v>
      </c>
      <c r="S10" s="5">
        <v>41448000</v>
      </c>
      <c r="T10" s="5">
        <v>135368000</v>
      </c>
      <c r="U10" s="5">
        <v>108679000</v>
      </c>
    </row>
    <row r="11" spans="3:21" x14ac:dyDescent="0.25">
      <c r="C11" s="1">
        <v>5</v>
      </c>
      <c r="E11" s="2" t="s">
        <v>4</v>
      </c>
      <c r="N11" t="s">
        <v>55</v>
      </c>
      <c r="O11" s="5">
        <v>2612268</v>
      </c>
      <c r="P11" s="5">
        <v>390000</v>
      </c>
      <c r="Q11" s="5">
        <v>5779000</v>
      </c>
      <c r="R11" s="5">
        <v>6059000</v>
      </c>
      <c r="S11" s="5">
        <v>-7000</v>
      </c>
      <c r="T11" s="5">
        <v>37725000</v>
      </c>
      <c r="U11" s="5">
        <v>21601000</v>
      </c>
    </row>
    <row r="12" spans="3:21" x14ac:dyDescent="0.25">
      <c r="C12" s="1">
        <v>6</v>
      </c>
      <c r="E12" s="2" t="s">
        <v>5</v>
      </c>
      <c r="N12" t="s">
        <v>51</v>
      </c>
      <c r="O12" s="5">
        <v>52630780</v>
      </c>
      <c r="P12" s="5">
        <v>46725000</v>
      </c>
      <c r="Q12" s="5">
        <v>55559000</v>
      </c>
      <c r="R12" s="5">
        <v>64031000</v>
      </c>
      <c r="S12" s="5">
        <v>83827000</v>
      </c>
      <c r="T12" s="5">
        <v>272327000</v>
      </c>
      <c r="U12" s="5">
        <v>255368000</v>
      </c>
    </row>
    <row r="13" spans="3:21" x14ac:dyDescent="0.25">
      <c r="C13" s="9">
        <v>7</v>
      </c>
      <c r="E13" s="2" t="s">
        <v>6</v>
      </c>
      <c r="N13" t="s">
        <v>52</v>
      </c>
      <c r="O13" s="5">
        <v>10692854</v>
      </c>
      <c r="P13" s="5">
        <v>7720000</v>
      </c>
      <c r="Q13" s="5">
        <v>8617000</v>
      </c>
      <c r="R13" s="5">
        <v>13266000</v>
      </c>
      <c r="S13" s="5">
        <v>1691000</v>
      </c>
      <c r="T13" s="5">
        <v>25373000</v>
      </c>
      <c r="U13" s="5">
        <v>8333000</v>
      </c>
    </row>
    <row r="14" spans="3:21" x14ac:dyDescent="0.25">
      <c r="C14" s="1">
        <v>8</v>
      </c>
      <c r="E14" s="2" t="s">
        <v>7</v>
      </c>
      <c r="N14" t="s">
        <v>53</v>
      </c>
      <c r="O14" s="5">
        <v>26479187</v>
      </c>
      <c r="P14" s="5">
        <v>18771000</v>
      </c>
      <c r="Q14" s="5">
        <v>26764000</v>
      </c>
      <c r="R14" s="5">
        <v>35634000</v>
      </c>
      <c r="S14" s="5">
        <v>41596000</v>
      </c>
      <c r="T14" s="5">
        <v>135948000</v>
      </c>
      <c r="U14" s="5">
        <v>145700000</v>
      </c>
    </row>
    <row r="15" spans="3:21" x14ac:dyDescent="0.25">
      <c r="C15" s="1">
        <v>9</v>
      </c>
      <c r="E15" s="2" t="s">
        <v>8</v>
      </c>
    </row>
    <row r="16" spans="3:21" x14ac:dyDescent="0.25">
      <c r="C16" s="1">
        <v>10</v>
      </c>
      <c r="E16" s="2" t="s">
        <v>9</v>
      </c>
    </row>
    <row r="17" spans="3:21" x14ac:dyDescent="0.25">
      <c r="C17" s="9">
        <v>11</v>
      </c>
      <c r="E17" s="2" t="s">
        <v>10</v>
      </c>
      <c r="M17" t="s">
        <v>17</v>
      </c>
      <c r="N17" t="s">
        <v>21</v>
      </c>
      <c r="O17" s="6">
        <f>O4/O5</f>
        <v>1.706858578559582</v>
      </c>
      <c r="P17" s="6">
        <f t="shared" ref="P17:U17" si="0">P4/P5</f>
        <v>1.5500926321789938</v>
      </c>
      <c r="Q17" s="6">
        <f t="shared" si="0"/>
        <v>1.5184405270441008</v>
      </c>
      <c r="R17" s="6">
        <f t="shared" si="0"/>
        <v>1.7850633211030891</v>
      </c>
      <c r="S17" s="6">
        <f t="shared" si="0"/>
        <v>1.0737654859535857</v>
      </c>
      <c r="T17" s="6">
        <f t="shared" si="0"/>
        <v>1.2703944073233373</v>
      </c>
      <c r="U17" s="6">
        <f t="shared" si="0"/>
        <v>1.1382519826127351</v>
      </c>
    </row>
    <row r="18" spans="3:21" x14ac:dyDescent="0.25">
      <c r="C18" s="1">
        <v>12</v>
      </c>
      <c r="E18" s="2" t="s">
        <v>11</v>
      </c>
      <c r="M18" t="s">
        <v>18</v>
      </c>
      <c r="N18" t="s">
        <v>22</v>
      </c>
      <c r="O18" s="6">
        <f>(O6+O7)/O10</f>
        <v>0.18212965190230024</v>
      </c>
      <c r="P18" s="6">
        <f t="shared" ref="P18:U18" si="1">(P6+P7)/P10</f>
        <v>-0.14567751243403318</v>
      </c>
      <c r="Q18" s="6">
        <f t="shared" si="1"/>
        <v>0.29878582575267387</v>
      </c>
      <c r="R18" s="6">
        <f t="shared" si="1"/>
        <v>0.28832129645939758</v>
      </c>
      <c r="S18" s="6">
        <f t="shared" si="1"/>
        <v>0.17762015055008687</v>
      </c>
      <c r="T18" s="6">
        <f t="shared" si="1"/>
        <v>0.29974587790319723</v>
      </c>
      <c r="U18" s="6">
        <f t="shared" si="1"/>
        <v>0.14167410447280523</v>
      </c>
    </row>
    <row r="19" spans="3:21" x14ac:dyDescent="0.25">
      <c r="C19" s="1">
        <v>13</v>
      </c>
      <c r="E19" s="2" t="s">
        <v>12</v>
      </c>
      <c r="M19" t="s">
        <v>19</v>
      </c>
      <c r="N19" t="s">
        <v>23</v>
      </c>
      <c r="O19" s="6">
        <f>O8/O5</f>
        <v>8.6882586827024988E-2</v>
      </c>
      <c r="P19" s="6">
        <f t="shared" ref="P19:U19" si="2">P8/P5</f>
        <v>0.42211771412284455</v>
      </c>
      <c r="Q19" s="6">
        <f t="shared" si="2"/>
        <v>4.2536550147403887E-2</v>
      </c>
      <c r="R19" s="6">
        <f t="shared" si="2"/>
        <v>6.4208782104391057E-2</v>
      </c>
      <c r="S19" s="6">
        <f t="shared" si="2"/>
        <v>0.27159309021113243</v>
      </c>
      <c r="T19" s="6">
        <f t="shared" si="2"/>
        <v>0.16986902820848918</v>
      </c>
      <c r="U19" s="6">
        <f t="shared" si="2"/>
        <v>0.36284301688953779</v>
      </c>
    </row>
    <row r="20" spans="3:21" x14ac:dyDescent="0.25">
      <c r="C20" s="9">
        <v>14</v>
      </c>
      <c r="E20" s="2" t="s">
        <v>13</v>
      </c>
      <c r="M20" t="s">
        <v>20</v>
      </c>
      <c r="N20" t="s">
        <v>24</v>
      </c>
      <c r="O20" s="6">
        <f>O9/O5</f>
        <v>0.17349063668975981</v>
      </c>
      <c r="P20" s="6">
        <f t="shared" ref="P20:U20" si="3">P9/P5</f>
        <v>-0.44506199230440358</v>
      </c>
      <c r="Q20" s="6">
        <f t="shared" si="3"/>
        <v>0.41435533361410265</v>
      </c>
      <c r="R20" s="6">
        <f t="shared" si="3"/>
        <v>0.41419102852408568</v>
      </c>
      <c r="S20" s="6">
        <f t="shared" si="3"/>
        <v>0.12746466585238178</v>
      </c>
      <c r="T20" s="6">
        <f t="shared" si="3"/>
        <v>0.43259055596406537</v>
      </c>
      <c r="U20" s="6">
        <f t="shared" si="3"/>
        <v>0.12640607890632777</v>
      </c>
    </row>
    <row r="21" spans="3:21" x14ac:dyDescent="0.25">
      <c r="C21" s="9">
        <v>15</v>
      </c>
      <c r="E21" s="10" t="s">
        <v>14</v>
      </c>
      <c r="N21" t="s">
        <v>58</v>
      </c>
      <c r="O21">
        <v>13</v>
      </c>
      <c r="P21">
        <v>8</v>
      </c>
      <c r="Q21">
        <v>13</v>
      </c>
      <c r="R21">
        <v>13</v>
      </c>
      <c r="S21">
        <v>13</v>
      </c>
      <c r="T21">
        <v>13</v>
      </c>
      <c r="U21">
        <v>13</v>
      </c>
    </row>
    <row r="22" spans="3:21" x14ac:dyDescent="0.25">
      <c r="C22" s="9">
        <v>16</v>
      </c>
      <c r="E22" s="2" t="s">
        <v>15</v>
      </c>
      <c r="N22" t="s">
        <v>59</v>
      </c>
      <c r="O22" t="s">
        <v>60</v>
      </c>
      <c r="P22" t="s">
        <v>61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</row>
    <row r="25" spans="3:21" x14ac:dyDescent="0.25">
      <c r="M25" t="s">
        <v>62</v>
      </c>
      <c r="N25" t="s">
        <v>47</v>
      </c>
      <c r="O25" s="6">
        <f t="shared" ref="O25:U25" si="4">O11/O12</f>
        <v>4.9633845441773808E-2</v>
      </c>
      <c r="P25" s="6">
        <f t="shared" si="4"/>
        <v>8.3467094703049763E-3</v>
      </c>
      <c r="Q25" s="6">
        <f t="shared" si="4"/>
        <v>0.10401555103583578</v>
      </c>
      <c r="R25" s="6">
        <f t="shared" si="4"/>
        <v>9.462604051162718E-2</v>
      </c>
      <c r="S25" s="6">
        <f t="shared" si="4"/>
        <v>-8.3505314516802462E-5</v>
      </c>
      <c r="T25" s="6">
        <f t="shared" si="4"/>
        <v>0.13852831338794905</v>
      </c>
      <c r="U25" s="6">
        <f t="shared" si="4"/>
        <v>8.4587732213903075E-2</v>
      </c>
    </row>
    <row r="26" spans="3:21" x14ac:dyDescent="0.25">
      <c r="C26" t="s">
        <v>50</v>
      </c>
      <c r="M26" t="s">
        <v>63</v>
      </c>
      <c r="N26" t="s">
        <v>48</v>
      </c>
      <c r="O26" s="6">
        <f t="shared" ref="O26:U26" si="5">O13/O12</f>
        <v>0.20316731007976702</v>
      </c>
      <c r="P26" s="6">
        <f t="shared" si="5"/>
        <v>0.16522204387372927</v>
      </c>
      <c r="Q26" s="6">
        <f t="shared" si="5"/>
        <v>0.15509638402419049</v>
      </c>
      <c r="R26" s="6">
        <f t="shared" si="5"/>
        <v>0.2071808967531352</v>
      </c>
      <c r="S26" s="6">
        <f t="shared" si="5"/>
        <v>2.0172498121130422E-2</v>
      </c>
      <c r="T26" s="6">
        <f t="shared" si="5"/>
        <v>9.3171077417957091E-2</v>
      </c>
      <c r="U26" s="6">
        <f t="shared" si="5"/>
        <v>3.2631339870304817E-2</v>
      </c>
    </row>
    <row r="27" spans="3:21" x14ac:dyDescent="0.25">
      <c r="M27" t="s">
        <v>64</v>
      </c>
      <c r="N27" t="s">
        <v>22</v>
      </c>
      <c r="O27" s="6">
        <f t="shared" ref="O27:U27" si="6">(O6+O7)/O10</f>
        <v>0.18212965190230024</v>
      </c>
      <c r="P27" s="6">
        <f t="shared" si="6"/>
        <v>-0.14567751243403318</v>
      </c>
      <c r="Q27" s="6">
        <f t="shared" si="6"/>
        <v>0.29878582575267387</v>
      </c>
      <c r="R27" s="6">
        <f t="shared" si="6"/>
        <v>0.28832129645939758</v>
      </c>
      <c r="S27" s="6">
        <f t="shared" si="6"/>
        <v>0.17762015055008687</v>
      </c>
      <c r="T27" s="6">
        <f t="shared" si="6"/>
        <v>0.29974587790319723</v>
      </c>
      <c r="U27" s="6">
        <f t="shared" si="6"/>
        <v>0.14167410447280523</v>
      </c>
    </row>
    <row r="28" spans="3:21" x14ac:dyDescent="0.25">
      <c r="C28" s="1">
        <v>1</v>
      </c>
      <c r="D28" s="2"/>
      <c r="E28" s="2" t="s">
        <v>31</v>
      </c>
      <c r="M28" t="s">
        <v>65</v>
      </c>
      <c r="N28" t="s">
        <v>49</v>
      </c>
      <c r="O28" s="6">
        <f t="shared" ref="O28:U28" si="7">O14/O10</f>
        <v>1.0886056855821959</v>
      </c>
      <c r="P28" s="6">
        <f t="shared" si="7"/>
        <v>0.71266942556665025</v>
      </c>
      <c r="Q28" s="6">
        <f t="shared" si="7"/>
        <v>1.0186883873177788</v>
      </c>
      <c r="R28" s="6">
        <f t="shared" si="7"/>
        <v>1.2553813633961599</v>
      </c>
      <c r="S28" s="6">
        <f t="shared" si="7"/>
        <v>1.003570739239529</v>
      </c>
      <c r="T28" s="6">
        <f t="shared" si="7"/>
        <v>1.0042846167484192</v>
      </c>
      <c r="U28" s="6">
        <f t="shared" si="7"/>
        <v>1.3406453868732691</v>
      </c>
    </row>
    <row r="29" spans="3:21" x14ac:dyDescent="0.25">
      <c r="C29" s="1">
        <v>2</v>
      </c>
      <c r="D29" s="2"/>
      <c r="E29" s="2" t="s">
        <v>32</v>
      </c>
      <c r="N29" t="s">
        <v>58</v>
      </c>
      <c r="O29">
        <v>5</v>
      </c>
      <c r="P29">
        <v>9</v>
      </c>
      <c r="Q29">
        <v>5</v>
      </c>
      <c r="R29">
        <v>5</v>
      </c>
      <c r="S29">
        <v>3</v>
      </c>
      <c r="T29">
        <v>12</v>
      </c>
      <c r="U29">
        <v>12</v>
      </c>
    </row>
    <row r="30" spans="3:21" x14ac:dyDescent="0.25">
      <c r="C30" s="9">
        <v>3</v>
      </c>
      <c r="D30" s="2"/>
      <c r="E30" s="2" t="s">
        <v>33</v>
      </c>
      <c r="M30" s="3"/>
      <c r="N30" s="8" t="s">
        <v>59</v>
      </c>
      <c r="O30" t="s">
        <v>60</v>
      </c>
      <c r="P30" t="s">
        <v>61</v>
      </c>
      <c r="Q30" t="s">
        <v>60</v>
      </c>
      <c r="R30" t="s">
        <v>60</v>
      </c>
      <c r="S30" t="s">
        <v>61</v>
      </c>
      <c r="T30" t="s">
        <v>60</v>
      </c>
      <c r="U30" t="s">
        <v>60</v>
      </c>
    </row>
    <row r="31" spans="3:21" x14ac:dyDescent="0.25">
      <c r="C31" s="1">
        <v>4</v>
      </c>
      <c r="D31" s="2"/>
      <c r="E31" s="2" t="s">
        <v>34</v>
      </c>
    </row>
    <row r="32" spans="3:21" x14ac:dyDescent="0.25">
      <c r="C32" s="1">
        <v>5</v>
      </c>
      <c r="D32" s="2"/>
      <c r="E32" s="2" t="s">
        <v>35</v>
      </c>
    </row>
    <row r="33" spans="3:5" x14ac:dyDescent="0.25">
      <c r="C33" s="1">
        <v>6</v>
      </c>
      <c r="D33" s="2"/>
      <c r="E33" s="2" t="s">
        <v>36</v>
      </c>
    </row>
    <row r="34" spans="3:5" x14ac:dyDescent="0.25">
      <c r="C34" s="9">
        <v>7</v>
      </c>
      <c r="D34" s="2"/>
      <c r="E34" s="2" t="s">
        <v>37</v>
      </c>
    </row>
    <row r="35" spans="3:5" x14ac:dyDescent="0.25">
      <c r="C35" s="1">
        <v>8</v>
      </c>
      <c r="D35" s="2"/>
      <c r="E35" s="2" t="s">
        <v>38</v>
      </c>
    </row>
    <row r="36" spans="3:5" x14ac:dyDescent="0.25">
      <c r="C36" s="1">
        <v>9</v>
      </c>
      <c r="D36" s="2"/>
      <c r="E36" s="2" t="s">
        <v>39</v>
      </c>
    </row>
    <row r="37" spans="3:5" x14ac:dyDescent="0.25">
      <c r="C37" s="1">
        <v>10</v>
      </c>
      <c r="D37" s="2"/>
      <c r="E37" s="2" t="s">
        <v>40</v>
      </c>
    </row>
    <row r="38" spans="3:5" x14ac:dyDescent="0.25">
      <c r="C38" s="9">
        <v>11</v>
      </c>
      <c r="D38" s="2"/>
      <c r="E38" s="2" t="s">
        <v>41</v>
      </c>
    </row>
    <row r="39" spans="3:5" x14ac:dyDescent="0.25">
      <c r="C39" s="1">
        <v>12</v>
      </c>
      <c r="D39" s="2"/>
      <c r="E39" s="2" t="s">
        <v>42</v>
      </c>
    </row>
    <row r="40" spans="3:5" x14ac:dyDescent="0.25">
      <c r="C40" s="1">
        <v>13</v>
      </c>
      <c r="D40" s="2"/>
      <c r="E40" s="2" t="s">
        <v>43</v>
      </c>
    </row>
    <row r="41" spans="3:5" x14ac:dyDescent="0.25">
      <c r="C41" s="9">
        <v>14</v>
      </c>
      <c r="D41" s="2"/>
      <c r="E41" s="2" t="s">
        <v>44</v>
      </c>
    </row>
    <row r="42" spans="3:5" x14ac:dyDescent="0.25">
      <c r="C42" s="9">
        <v>15</v>
      </c>
      <c r="D42" s="2"/>
      <c r="E42" s="2" t="s">
        <v>45</v>
      </c>
    </row>
    <row r="43" spans="3:5" x14ac:dyDescent="0.25">
      <c r="C43" s="9">
        <v>16</v>
      </c>
      <c r="D43" s="2"/>
      <c r="E43" s="2" t="s">
        <v>46</v>
      </c>
    </row>
    <row r="44" spans="3:5" x14ac:dyDescent="0.25">
      <c r="D44" s="4"/>
      <c r="E44" s="4"/>
    </row>
    <row r="45" spans="3:5" x14ac:dyDescent="0.25">
      <c r="D45" s="4"/>
      <c r="E45" s="4"/>
    </row>
    <row r="46" spans="3:5" x14ac:dyDescent="0.25">
      <c r="D46" s="4"/>
      <c r="E46" s="4"/>
    </row>
    <row r="47" spans="3:5" x14ac:dyDescent="0.25">
      <c r="D47" s="4"/>
      <c r="E47" s="4"/>
    </row>
    <row r="48" spans="3:5" x14ac:dyDescent="0.25">
      <c r="D48" s="4"/>
      <c r="E48" s="4"/>
    </row>
    <row r="49" spans="4:5" x14ac:dyDescent="0.25">
      <c r="D49" s="4"/>
      <c r="E49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16C3-0C17-AF4B-8F53-CFB45025EE7F}">
  <dimension ref="C3:U43"/>
  <sheetViews>
    <sheetView topLeftCell="B1" workbookViewId="0">
      <selection activeCell="M39" sqref="M39"/>
    </sheetView>
  </sheetViews>
  <sheetFormatPr defaultColWidth="11.42578125" defaultRowHeight="15" x14ac:dyDescent="0.25"/>
  <cols>
    <col min="14" max="14" width="28.42578125" bestFit="1" customWidth="1"/>
    <col min="15" max="18" width="18" bestFit="1" customWidth="1"/>
    <col min="19" max="21" width="11.7109375" bestFit="1" customWidth="1"/>
  </cols>
  <sheetData>
    <row r="3" spans="3:21" x14ac:dyDescent="0.25">
      <c r="H3" s="3"/>
      <c r="I3" s="3"/>
      <c r="J3" s="3"/>
      <c r="K3" s="3"/>
      <c r="O3">
        <v>2012</v>
      </c>
      <c r="P3">
        <v>2014</v>
      </c>
      <c r="Q3">
        <v>2016</v>
      </c>
      <c r="R3">
        <v>2018</v>
      </c>
      <c r="S3">
        <v>2020</v>
      </c>
      <c r="T3">
        <v>2022</v>
      </c>
      <c r="U3">
        <v>2024</v>
      </c>
    </row>
    <row r="4" spans="3:21" x14ac:dyDescent="0.25">
      <c r="C4" t="s">
        <v>16</v>
      </c>
      <c r="H4" s="3"/>
      <c r="I4" s="3"/>
      <c r="J4" s="3"/>
      <c r="K4" s="3"/>
      <c r="M4" s="5"/>
      <c r="N4" t="s">
        <v>25</v>
      </c>
      <c r="O4" s="5">
        <v>23654</v>
      </c>
      <c r="P4" s="5">
        <v>65807</v>
      </c>
      <c r="Q4" s="5">
        <v>498688</v>
      </c>
      <c r="R4" s="5">
        <v>526525</v>
      </c>
      <c r="S4" s="5">
        <v>641603</v>
      </c>
      <c r="T4" s="5">
        <v>1396203</v>
      </c>
      <c r="U4" s="5">
        <v>1870485</v>
      </c>
    </row>
    <row r="5" spans="3:21" x14ac:dyDescent="0.25">
      <c r="H5" s="4"/>
      <c r="I5" s="4"/>
      <c r="J5" s="4"/>
      <c r="N5" t="s">
        <v>26</v>
      </c>
      <c r="O5" s="5">
        <v>18872</v>
      </c>
      <c r="P5" s="5">
        <v>57497</v>
      </c>
      <c r="Q5" s="5">
        <v>447371</v>
      </c>
      <c r="R5" s="5">
        <v>396361</v>
      </c>
      <c r="S5" s="5">
        <v>471764</v>
      </c>
      <c r="T5" s="5">
        <v>864869</v>
      </c>
      <c r="U5" s="5">
        <v>1372113</v>
      </c>
    </row>
    <row r="6" spans="3:21" x14ac:dyDescent="0.25">
      <c r="N6" t="s">
        <v>27</v>
      </c>
      <c r="O6" s="5">
        <v>1541</v>
      </c>
      <c r="P6" s="5">
        <v>3838</v>
      </c>
      <c r="Q6" s="5">
        <v>29643</v>
      </c>
      <c r="R6" s="5">
        <v>-3140</v>
      </c>
      <c r="S6" s="5">
        <v>34735</v>
      </c>
      <c r="T6" s="5">
        <v>373897</v>
      </c>
      <c r="U6" s="5">
        <v>139341</v>
      </c>
    </row>
    <row r="7" spans="3:21" x14ac:dyDescent="0.25">
      <c r="C7" s="1">
        <v>1</v>
      </c>
      <c r="E7" t="s">
        <v>0</v>
      </c>
      <c r="N7" t="s">
        <v>28</v>
      </c>
      <c r="O7" s="5">
        <v>527</v>
      </c>
      <c r="P7" s="5">
        <v>1552</v>
      </c>
      <c r="Q7" s="5">
        <v>3715</v>
      </c>
      <c r="R7" s="5">
        <v>5533</v>
      </c>
      <c r="S7" s="5">
        <v>9025</v>
      </c>
      <c r="T7" s="5">
        <v>16485</v>
      </c>
      <c r="U7" s="5">
        <v>136550</v>
      </c>
    </row>
    <row r="8" spans="3:21" x14ac:dyDescent="0.25">
      <c r="C8" s="1">
        <v>2</v>
      </c>
      <c r="E8" t="s">
        <v>1</v>
      </c>
      <c r="N8" t="s">
        <v>29</v>
      </c>
      <c r="O8" s="5">
        <v>690</v>
      </c>
      <c r="P8" s="5">
        <v>5799</v>
      </c>
      <c r="Q8" s="5">
        <v>10967</v>
      </c>
      <c r="R8" s="5">
        <v>7139</v>
      </c>
      <c r="S8" s="5">
        <v>9759</v>
      </c>
      <c r="T8" s="5">
        <v>10878</v>
      </c>
      <c r="U8" s="5">
        <v>21262</v>
      </c>
    </row>
    <row r="9" spans="3:21" x14ac:dyDescent="0.25">
      <c r="C9" s="1">
        <v>3</v>
      </c>
      <c r="E9" t="s">
        <v>2</v>
      </c>
      <c r="N9" t="s">
        <v>54</v>
      </c>
      <c r="O9" s="5">
        <v>2021</v>
      </c>
      <c r="P9" s="5">
        <v>5468</v>
      </c>
      <c r="Q9" s="5">
        <v>37538</v>
      </c>
      <c r="R9" s="5">
        <v>-221</v>
      </c>
      <c r="S9" s="5">
        <v>43732</v>
      </c>
      <c r="T9" s="5">
        <v>464224</v>
      </c>
      <c r="U9" s="5">
        <v>187214</v>
      </c>
    </row>
    <row r="10" spans="3:21" x14ac:dyDescent="0.25">
      <c r="C10" s="1">
        <v>4</v>
      </c>
      <c r="E10" s="2" t="s">
        <v>3</v>
      </c>
      <c r="N10" t="s">
        <v>30</v>
      </c>
      <c r="O10" s="5">
        <v>19764</v>
      </c>
      <c r="P10" s="5">
        <v>72890</v>
      </c>
      <c r="Q10" s="5">
        <v>484646</v>
      </c>
      <c r="R10" s="5">
        <v>410040</v>
      </c>
      <c r="S10" s="5">
        <v>524454</v>
      </c>
      <c r="T10" s="5">
        <v>961483</v>
      </c>
      <c r="U10" s="5">
        <v>2217183</v>
      </c>
    </row>
    <row r="11" spans="3:21" x14ac:dyDescent="0.25">
      <c r="C11" s="1">
        <v>5</v>
      </c>
      <c r="E11" s="2" t="s">
        <v>4</v>
      </c>
      <c r="N11" t="s">
        <v>55</v>
      </c>
      <c r="O11" s="5">
        <v>3053</v>
      </c>
      <c r="P11" s="5">
        <v>-1444</v>
      </c>
      <c r="Q11" s="5">
        <v>50755</v>
      </c>
      <c r="R11" s="5">
        <v>4995</v>
      </c>
      <c r="S11" s="5">
        <v>55944</v>
      </c>
      <c r="T11" s="5">
        <v>473916</v>
      </c>
      <c r="U11" s="5">
        <v>239442</v>
      </c>
    </row>
    <row r="12" spans="3:21" x14ac:dyDescent="0.25">
      <c r="C12" s="1">
        <v>6</v>
      </c>
      <c r="E12" s="2" t="s">
        <v>5</v>
      </c>
      <c r="N12" t="s">
        <v>51</v>
      </c>
      <c r="O12" s="5">
        <v>35405</v>
      </c>
      <c r="P12" s="5">
        <v>120600</v>
      </c>
      <c r="Q12" s="5">
        <v>580566</v>
      </c>
      <c r="R12" s="5">
        <v>603285</v>
      </c>
      <c r="S12" s="5">
        <v>790335</v>
      </c>
      <c r="T12" s="5">
        <v>1665277</v>
      </c>
      <c r="U12" s="5">
        <v>3402120</v>
      </c>
    </row>
    <row r="13" spans="3:21" x14ac:dyDescent="0.25">
      <c r="C13" s="1">
        <v>7</v>
      </c>
      <c r="E13" s="2" t="s">
        <v>6</v>
      </c>
      <c r="N13" t="s">
        <v>52</v>
      </c>
      <c r="O13" s="5">
        <v>4782</v>
      </c>
      <c r="P13" s="5">
        <v>8310</v>
      </c>
      <c r="Q13" s="5">
        <v>51317</v>
      </c>
      <c r="R13" s="5">
        <v>130164</v>
      </c>
      <c r="S13" s="5">
        <v>169839</v>
      </c>
      <c r="T13" s="5">
        <v>531334</v>
      </c>
      <c r="U13" s="5">
        <v>498372</v>
      </c>
    </row>
    <row r="14" spans="3:21" x14ac:dyDescent="0.25">
      <c r="C14" s="1">
        <v>8</v>
      </c>
      <c r="E14" s="2" t="s">
        <v>7</v>
      </c>
      <c r="N14" t="s">
        <v>53</v>
      </c>
      <c r="O14" s="5">
        <v>14140</v>
      </c>
      <c r="P14" s="5">
        <v>41444</v>
      </c>
      <c r="Q14" s="5">
        <v>85588</v>
      </c>
      <c r="R14" s="5">
        <v>187476</v>
      </c>
      <c r="S14" s="5">
        <v>265980</v>
      </c>
      <c r="T14" s="5">
        <v>704074</v>
      </c>
      <c r="U14" s="5">
        <v>1183712</v>
      </c>
    </row>
    <row r="15" spans="3:21" x14ac:dyDescent="0.25">
      <c r="C15" s="1">
        <v>9</v>
      </c>
      <c r="E15" s="2" t="s">
        <v>8</v>
      </c>
    </row>
    <row r="16" spans="3:21" x14ac:dyDescent="0.25">
      <c r="C16" s="1">
        <v>10</v>
      </c>
      <c r="E16" s="2" t="s">
        <v>9</v>
      </c>
      <c r="M16" t="s">
        <v>56</v>
      </c>
    </row>
    <row r="17" spans="3:21" x14ac:dyDescent="0.25">
      <c r="C17" s="1">
        <v>11</v>
      </c>
      <c r="E17" s="2" t="s">
        <v>10</v>
      </c>
      <c r="M17" t="s">
        <v>17</v>
      </c>
      <c r="N17" t="s">
        <v>21</v>
      </c>
      <c r="O17" s="6">
        <f>O4/O5</f>
        <v>1.2533912674862229</v>
      </c>
      <c r="P17" s="6">
        <f t="shared" ref="P17:U17" si="0">P4/P5</f>
        <v>1.1445292797885107</v>
      </c>
      <c r="Q17" s="6">
        <f t="shared" si="0"/>
        <v>1.1147079269778326</v>
      </c>
      <c r="R17" s="6">
        <f t="shared" si="0"/>
        <v>1.3283975971399811</v>
      </c>
      <c r="S17" s="6">
        <f t="shared" si="0"/>
        <v>1.3600083940275223</v>
      </c>
      <c r="T17" s="6">
        <f t="shared" si="0"/>
        <v>1.6143520001294993</v>
      </c>
      <c r="U17" s="6">
        <f t="shared" si="0"/>
        <v>1.3632149830225353</v>
      </c>
    </row>
    <row r="18" spans="3:21" x14ac:dyDescent="0.25">
      <c r="C18" s="1">
        <v>12</v>
      </c>
      <c r="E18" s="2" t="s">
        <v>11</v>
      </c>
      <c r="M18" t="s">
        <v>18</v>
      </c>
      <c r="N18" t="s">
        <v>22</v>
      </c>
      <c r="O18" s="6">
        <f>(O6+O7)/O10</f>
        <v>0.10463468933414288</v>
      </c>
      <c r="P18" s="6">
        <f t="shared" ref="P18:U18" si="1">(P6+P7)/P10</f>
        <v>7.3947043490190698E-2</v>
      </c>
      <c r="Q18" s="6">
        <f t="shared" si="1"/>
        <v>6.8829619970039987E-2</v>
      </c>
      <c r="R18" s="6">
        <f t="shared" si="1"/>
        <v>5.8360159984391768E-3</v>
      </c>
      <c r="S18" s="6">
        <f t="shared" si="1"/>
        <v>8.3439157676364367E-2</v>
      </c>
      <c r="T18" s="6">
        <f t="shared" si="1"/>
        <v>0.40602069927393414</v>
      </c>
      <c r="U18" s="6">
        <f t="shared" si="1"/>
        <v>0.12443312076630571</v>
      </c>
    </row>
    <row r="19" spans="3:21" x14ac:dyDescent="0.25">
      <c r="C19" s="1">
        <v>13</v>
      </c>
      <c r="E19" s="2" t="s">
        <v>12</v>
      </c>
      <c r="M19" t="s">
        <v>19</v>
      </c>
      <c r="N19" t="s">
        <v>23</v>
      </c>
      <c r="O19" s="6">
        <f>O8/O5</f>
        <v>3.6562102585841458E-2</v>
      </c>
      <c r="P19" s="6">
        <f t="shared" ref="P19:U19" si="2">P8/P5</f>
        <v>0.10085743604014122</v>
      </c>
      <c r="Q19" s="6">
        <f t="shared" si="2"/>
        <v>2.4514329270337146E-2</v>
      </c>
      <c r="R19" s="6">
        <f t="shared" si="2"/>
        <v>1.8011358332429277E-2</v>
      </c>
      <c r="S19" s="6">
        <f t="shared" si="2"/>
        <v>2.068619055290357E-2</v>
      </c>
      <c r="T19" s="6">
        <f t="shared" si="2"/>
        <v>1.2577627363219169E-2</v>
      </c>
      <c r="U19" s="6">
        <f t="shared" si="2"/>
        <v>1.5495808289842018E-2</v>
      </c>
    </row>
    <row r="20" spans="3:21" x14ac:dyDescent="0.25">
      <c r="C20" s="1">
        <v>14</v>
      </c>
      <c r="E20" s="2" t="s">
        <v>13</v>
      </c>
      <c r="M20" t="s">
        <v>20</v>
      </c>
      <c r="N20" t="s">
        <v>24</v>
      </c>
      <c r="O20" s="6">
        <f>O9/O5</f>
        <v>0.10708986858838491</v>
      </c>
      <c r="P20" s="6">
        <f t="shared" ref="P20:U20" si="3">P9/P5</f>
        <v>9.5100613945075393E-2</v>
      </c>
      <c r="Q20" s="6">
        <f t="shared" si="3"/>
        <v>8.3907986883369728E-2</v>
      </c>
      <c r="R20" s="6">
        <f t="shared" si="3"/>
        <v>-5.5757251596398236E-4</v>
      </c>
      <c r="S20" s="6">
        <f t="shared" si="3"/>
        <v>9.2698891818790749E-2</v>
      </c>
      <c r="T20" s="6">
        <f t="shared" si="3"/>
        <v>0.53675643363330172</v>
      </c>
      <c r="U20" s="6">
        <f t="shared" si="3"/>
        <v>0.1364421151902212</v>
      </c>
    </row>
    <row r="21" spans="3:21" x14ac:dyDescent="0.25">
      <c r="C21" s="1">
        <v>15</v>
      </c>
      <c r="E21" s="10" t="s">
        <v>14</v>
      </c>
      <c r="N21" t="s">
        <v>58</v>
      </c>
      <c r="O21" s="7">
        <v>13</v>
      </c>
      <c r="P21" s="6">
        <v>13</v>
      </c>
      <c r="Q21" s="6">
        <v>13</v>
      </c>
      <c r="R21" s="6">
        <v>13</v>
      </c>
      <c r="S21" s="6">
        <v>13</v>
      </c>
      <c r="T21" s="6">
        <v>13</v>
      </c>
      <c r="U21" s="6">
        <v>13</v>
      </c>
    </row>
    <row r="22" spans="3:21" x14ac:dyDescent="0.25">
      <c r="C22" s="1">
        <v>16</v>
      </c>
      <c r="E22" s="2" t="s">
        <v>15</v>
      </c>
      <c r="N22" t="s">
        <v>59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</row>
    <row r="24" spans="3:21" x14ac:dyDescent="0.25">
      <c r="M24" t="s">
        <v>57</v>
      </c>
      <c r="O24" s="6"/>
      <c r="P24" s="6"/>
      <c r="Q24" s="6"/>
      <c r="R24" s="6"/>
      <c r="S24" s="6"/>
      <c r="T24" s="6"/>
      <c r="U24" s="6"/>
    </row>
    <row r="25" spans="3:21" x14ac:dyDescent="0.25">
      <c r="M25" t="s">
        <v>62</v>
      </c>
      <c r="N25" t="s">
        <v>47</v>
      </c>
      <c r="O25" s="6">
        <f t="shared" ref="O25:U25" si="4">O11/O12</f>
        <v>8.6230758367462218E-2</v>
      </c>
      <c r="P25" s="6">
        <f t="shared" si="4"/>
        <v>-1.197346600331675E-2</v>
      </c>
      <c r="Q25" s="6">
        <f t="shared" si="4"/>
        <v>8.7423307599825001E-2</v>
      </c>
      <c r="R25" s="6">
        <f t="shared" si="4"/>
        <v>8.2796688132474698E-3</v>
      </c>
      <c r="S25" s="6">
        <f t="shared" si="4"/>
        <v>7.0785173375846958E-2</v>
      </c>
      <c r="T25" s="6">
        <f t="shared" si="4"/>
        <v>0.28458688854767106</v>
      </c>
      <c r="U25" s="6">
        <f t="shared" si="4"/>
        <v>7.0380233501463788E-2</v>
      </c>
    </row>
    <row r="26" spans="3:21" x14ac:dyDescent="0.25">
      <c r="C26" t="s">
        <v>50</v>
      </c>
      <c r="M26" t="s">
        <v>63</v>
      </c>
      <c r="N26" t="s">
        <v>48</v>
      </c>
      <c r="O26" s="6">
        <f t="shared" ref="O26:U26" si="5">O13/O12</f>
        <v>0.13506566869086287</v>
      </c>
      <c r="P26" s="6">
        <f t="shared" si="5"/>
        <v>6.8905472636815915E-2</v>
      </c>
      <c r="Q26" s="6">
        <f t="shared" si="5"/>
        <v>8.8391328462224791E-2</v>
      </c>
      <c r="R26" s="6">
        <f t="shared" si="5"/>
        <v>0.21575872100251126</v>
      </c>
      <c r="S26" s="6">
        <f t="shared" si="5"/>
        <v>0.21489494960997552</v>
      </c>
      <c r="T26" s="6">
        <f t="shared" si="5"/>
        <v>0.31906643759566727</v>
      </c>
      <c r="U26" s="6">
        <f t="shared" si="5"/>
        <v>0.14648866001199251</v>
      </c>
    </row>
    <row r="27" spans="3:21" x14ac:dyDescent="0.25">
      <c r="M27" t="s">
        <v>64</v>
      </c>
      <c r="N27" t="s">
        <v>22</v>
      </c>
      <c r="O27" s="6">
        <f t="shared" ref="O27:U27" si="6">(O6+O7)/O10</f>
        <v>0.10463468933414288</v>
      </c>
      <c r="P27" s="6">
        <f t="shared" si="6"/>
        <v>7.3947043490190698E-2</v>
      </c>
      <c r="Q27" s="6">
        <f t="shared" si="6"/>
        <v>6.8829619970039987E-2</v>
      </c>
      <c r="R27" s="6">
        <f t="shared" si="6"/>
        <v>5.8360159984391768E-3</v>
      </c>
      <c r="S27" s="6">
        <f t="shared" si="6"/>
        <v>8.3439157676364367E-2</v>
      </c>
      <c r="T27" s="6">
        <f t="shared" si="6"/>
        <v>0.40602069927393414</v>
      </c>
      <c r="U27" s="6">
        <f t="shared" si="6"/>
        <v>0.12443312076630571</v>
      </c>
    </row>
    <row r="28" spans="3:21" x14ac:dyDescent="0.25">
      <c r="C28" s="1">
        <v>1</v>
      </c>
      <c r="D28" s="2"/>
      <c r="E28" s="2" t="s">
        <v>31</v>
      </c>
      <c r="M28" t="s">
        <v>65</v>
      </c>
      <c r="N28" t="s">
        <v>49</v>
      </c>
      <c r="O28" s="6">
        <f t="shared" ref="O28:U28" si="7">O14/O10</f>
        <v>0.71544221817445863</v>
      </c>
      <c r="P28" s="6">
        <f t="shared" si="7"/>
        <v>0.56858279599396355</v>
      </c>
      <c r="Q28" s="6">
        <f t="shared" si="7"/>
        <v>0.17659900215827634</v>
      </c>
      <c r="R28" s="6">
        <f t="shared" si="7"/>
        <v>0.45721393034825869</v>
      </c>
      <c r="S28" s="6">
        <f t="shared" si="7"/>
        <v>0.5071560136828015</v>
      </c>
      <c r="T28" s="6">
        <f t="shared" si="7"/>
        <v>0.73227919786413276</v>
      </c>
      <c r="U28" s="6">
        <f t="shared" si="7"/>
        <v>0.53388105537522157</v>
      </c>
    </row>
    <row r="29" spans="3:21" x14ac:dyDescent="0.25">
      <c r="C29" s="1">
        <v>2</v>
      </c>
      <c r="D29" s="2"/>
      <c r="E29" s="2" t="s">
        <v>32</v>
      </c>
      <c r="N29" t="s">
        <v>58</v>
      </c>
      <c r="O29">
        <v>8</v>
      </c>
      <c r="P29">
        <v>1</v>
      </c>
      <c r="Q29">
        <v>8</v>
      </c>
      <c r="R29">
        <v>9</v>
      </c>
      <c r="S29">
        <v>7</v>
      </c>
      <c r="T29">
        <v>6</v>
      </c>
      <c r="U29">
        <v>6</v>
      </c>
    </row>
    <row r="30" spans="3:21" x14ac:dyDescent="0.25">
      <c r="C30" s="1">
        <v>3</v>
      </c>
      <c r="D30" s="2"/>
      <c r="E30" s="2" t="s">
        <v>33</v>
      </c>
      <c r="M30" s="3"/>
      <c r="N30" t="s">
        <v>59</v>
      </c>
      <c r="O30" t="s">
        <v>61</v>
      </c>
      <c r="P30" t="s">
        <v>61</v>
      </c>
      <c r="Q30" t="s">
        <v>61</v>
      </c>
      <c r="R30" t="s">
        <v>61</v>
      </c>
      <c r="S30" t="s">
        <v>60</v>
      </c>
      <c r="T30" t="s">
        <v>60</v>
      </c>
      <c r="U30" t="s">
        <v>60</v>
      </c>
    </row>
    <row r="31" spans="3:21" x14ac:dyDescent="0.25">
      <c r="C31" s="1">
        <v>4</v>
      </c>
      <c r="D31" s="2"/>
      <c r="E31" s="2" t="s">
        <v>34</v>
      </c>
    </row>
    <row r="32" spans="3:21" x14ac:dyDescent="0.25">
      <c r="C32" s="1">
        <v>5</v>
      </c>
      <c r="D32" s="2"/>
      <c r="E32" s="2" t="s">
        <v>35</v>
      </c>
    </row>
    <row r="33" spans="3:5" x14ac:dyDescent="0.25">
      <c r="C33" s="1">
        <v>6</v>
      </c>
      <c r="D33" s="2"/>
      <c r="E33" s="2" t="s">
        <v>36</v>
      </c>
    </row>
    <row r="34" spans="3:5" x14ac:dyDescent="0.25">
      <c r="C34" s="1">
        <v>7</v>
      </c>
      <c r="D34" s="2"/>
      <c r="E34" s="2" t="s">
        <v>37</v>
      </c>
    </row>
    <row r="35" spans="3:5" x14ac:dyDescent="0.25">
      <c r="C35" s="1">
        <v>8</v>
      </c>
      <c r="D35" s="2"/>
      <c r="E35" s="2" t="s">
        <v>38</v>
      </c>
    </row>
    <row r="36" spans="3:5" x14ac:dyDescent="0.25">
      <c r="C36" s="1">
        <v>9</v>
      </c>
      <c r="D36" s="2"/>
      <c r="E36" s="2" t="s">
        <v>39</v>
      </c>
    </row>
    <row r="37" spans="3:5" x14ac:dyDescent="0.25">
      <c r="C37" s="1">
        <v>10</v>
      </c>
      <c r="D37" s="2"/>
      <c r="E37" s="2" t="s">
        <v>40</v>
      </c>
    </row>
    <row r="38" spans="3:5" x14ac:dyDescent="0.25">
      <c r="C38" s="1">
        <v>11</v>
      </c>
      <c r="D38" s="2"/>
      <c r="E38" s="2" t="s">
        <v>41</v>
      </c>
    </row>
    <row r="39" spans="3:5" x14ac:dyDescent="0.25">
      <c r="C39" s="1">
        <v>12</v>
      </c>
      <c r="D39" s="2"/>
      <c r="E39" s="2" t="s">
        <v>42</v>
      </c>
    </row>
    <row r="40" spans="3:5" x14ac:dyDescent="0.25">
      <c r="C40" s="1">
        <v>13</v>
      </c>
      <c r="D40" s="2"/>
      <c r="E40" s="2" t="s">
        <v>43</v>
      </c>
    </row>
    <row r="41" spans="3:5" x14ac:dyDescent="0.25">
      <c r="C41" s="1">
        <v>14</v>
      </c>
      <c r="D41" s="2"/>
      <c r="E41" s="2" t="s">
        <v>44</v>
      </c>
    </row>
    <row r="42" spans="3:5" x14ac:dyDescent="0.25">
      <c r="C42" s="1">
        <v>15</v>
      </c>
      <c r="D42" s="2"/>
      <c r="E42" s="2" t="s">
        <v>45</v>
      </c>
    </row>
    <row r="43" spans="3:5" x14ac:dyDescent="0.25">
      <c r="C43" s="1">
        <v>16</v>
      </c>
      <c r="D43" s="2"/>
      <c r="E43" s="2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PKN Orlen</vt:lpstr>
      <vt:lpstr>Unimot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Oskar Iwaszkiewicz</cp:lastModifiedBy>
  <dcterms:created xsi:type="dcterms:W3CDTF">2025-12-01T09:17:57Z</dcterms:created>
  <dcterms:modified xsi:type="dcterms:W3CDTF">2026-03-04T15:15:14Z</dcterms:modified>
</cp:coreProperties>
</file>